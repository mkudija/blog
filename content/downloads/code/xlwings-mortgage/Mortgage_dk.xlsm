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 codeName="{A5273A89-FDBA-A9CC-58D2-03FBE188E8EF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tthewkudija/Documents/GitHub/blog/content/downloads/code/xlwings-mortgage/"/>
    </mc:Choice>
  </mc:AlternateContent>
  <xr:revisionPtr revIDLastSave="0" documentId="8_{99FD5B3C-6799-F742-8C81-B1F9D59ABCF3}" xr6:coauthVersionLast="45" xr6:coauthVersionMax="45" xr10:uidLastSave="{00000000-0000-0000-0000-000000000000}"/>
  <bookViews>
    <workbookView xWindow="600" yWindow="2780" windowWidth="21000" windowHeight="14180" xr2:uid="{00000000-000D-0000-FFFF-FFFF00000000}"/>
  </bookViews>
  <sheets>
    <sheet name="Inputs" sheetId="1" r:id="rId1"/>
  </sheets>
  <functionGroups builtInGroupCount="19"/>
  <definedNames>
    <definedName name="a">#REF!</definedName>
    <definedName name="aa">#REF!</definedName>
    <definedName name="AircraftType">#REF!</definedName>
    <definedName name="asdf">#REF!</definedName>
    <definedName name="Dataset">#REF!</definedName>
    <definedName name="MissingComponents">#REF!</definedName>
    <definedName name="n">Inputs!#REF!</definedName>
    <definedName name="netting">#REF!</definedName>
    <definedName name="returnCondition">#REF!</definedName>
    <definedName name="single_cell">#REF!</definedName>
    <definedName name="solver_eng" localSheetId="0" hidden="1">1</definedName>
    <definedName name="solver_lin" localSheetId="0" hidden="1">2</definedName>
    <definedName name="solver_neg" localSheetId="0" hidden="1">1</definedName>
    <definedName name="solver_num" localSheetId="0" hidden="1">0</definedName>
    <definedName name="solver_opt" localSheetId="0" hidden="1">Inputs!$A$1</definedName>
    <definedName name="solver_typ" localSheetId="0" hidden="1">1</definedName>
    <definedName name="solver_val" localSheetId="0" hidden="1">0</definedName>
    <definedName name="solver_ver" localSheetId="0" hidden="1">2</definedName>
    <definedName name="test_range">#REF!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8" i="1" l="1"/>
  <c r="C16" i="1"/>
</calcChain>
</file>

<file path=xl/sharedStrings.xml><?xml version="1.0" encoding="utf-8"?>
<sst xmlns="http://schemas.openxmlformats.org/spreadsheetml/2006/main" count="18" uniqueCount="18">
  <si>
    <t>Month</t>
  </si>
  <si>
    <t>Principal</t>
  </si>
  <si>
    <t>Period</t>
  </si>
  <si>
    <t>BeginBalance</t>
  </si>
  <si>
    <t>Payment</t>
  </si>
  <si>
    <t>Interest</t>
  </si>
  <si>
    <t>AddPayment</t>
  </si>
  <si>
    <t>EndBalance</t>
  </si>
  <si>
    <t>Mortgage Calculator</t>
  </si>
  <si>
    <t>Inputs</t>
  </si>
  <si>
    <t xml:space="preserve">Principal: </t>
  </si>
  <si>
    <t xml:space="preserve">Interest Rate: </t>
  </si>
  <si>
    <t xml:space="preserve">Term: </t>
  </si>
  <si>
    <t xml:space="preserve">Start Date: </t>
  </si>
  <si>
    <t xml:space="preserve">Extra Pmt: </t>
  </si>
  <si>
    <t xml:space="preserve">Payments/yr: </t>
  </si>
  <si>
    <t xml:space="preserve">Payoff Date: </t>
  </si>
  <si>
    <t xml:space="preserve">Total Cost: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</si>
</sst>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44" formatCode="_(&quot;$&quot;* #,##0.00_);_(&quot;$&quot;* \(#,##0.00\);_(&quot;$&quot;* &quot;-&quot;??_);_(@_)"/>
    <numFmt numFmtId="164" formatCode="0.000"/>
    <numFmt numFmtId="165" formatCode="_(&quot;$&quot;* #,##0_);_(&quot;$&quot;* \(#,##0\);_(&quot;$&quot;* &quot;-&quot;??_);_(@_)"/>
    <numFmt numFmtId="167" formatCode="yyyy\-mm\-dd"/>
    <numFmt numFmtId="171" formatCode="_(* &quot;$&quot;\ #,##0_);_(* &quot;$&quot;\ \(#,##0\);_(* &quot;&quot;&quot;$&quot;\ \ \-&quot;&quot;?_);_(@_)"/>
  </numFmts>
  <fonts count="14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indexed="18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4"/>
      <color rgb="FF000080"/>
      <name val="GE Inspira Sans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4"/>
      <color theme="0"/>
      <name val="Calibri"/>
      <family val="2"/>
    </font>
    <font>
      <sz val="11"/>
      <color rgb="FF63666A"/>
      <name val="Calibri"/>
      <family val="2"/>
    </font>
    <font>
      <b/>
      <sz val="12"/>
      <color theme="0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745AB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98">
    <xf numFmtId="0" fontId="0" fillId="0" borderId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3" fillId="0" borderId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1" fillId="0" borderId="0"/>
    <xf numFmtId="44" fontId="1" fillId="0" borderId="0" applyFont="0" applyFill="0" applyBorder="0" applyAlignment="0" applyProtection="0"/>
  </cellStyleXfs>
  <cellXfs count="41">
    <xf numFmtId="0" fontId="0" fillId="0" borderId="0" xfId="0"/>
    <xf numFmtId="0" fontId="8" fillId="0" borderId="0" xfId="0" applyNumberFormat="1" applyFont="1" applyAlignment="1">
      <alignment wrapText="1"/>
    </xf>
    <xf numFmtId="0" fontId="7" fillId="0" borderId="0" xfId="0" applyFont="1"/>
    <xf numFmtId="0" fontId="7" fillId="0" borderId="0" xfId="0" applyNumberFormat="1" applyFont="1" applyAlignment="1">
      <alignment wrapText="1"/>
    </xf>
    <xf numFmtId="0" fontId="10" fillId="0" borderId="0" xfId="0" applyNumberFormat="1" applyFont="1" applyAlignment="1">
      <alignment wrapText="1"/>
    </xf>
    <xf numFmtId="0" fontId="8" fillId="0" borderId="0" xfId="0" applyFont="1"/>
    <xf numFmtId="165" fontId="10" fillId="0" borderId="0" xfId="3" applyNumberFormat="1" applyFont="1" applyFill="1"/>
    <xf numFmtId="165" fontId="10" fillId="0" borderId="0" xfId="3" applyNumberFormat="1" applyFont="1" applyFill="1" applyAlignment="1">
      <alignment horizontal="center"/>
    </xf>
    <xf numFmtId="165" fontId="10" fillId="0" borderId="0" xfId="3" applyNumberFormat="1" applyFont="1" applyFill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3" fontId="7" fillId="0" borderId="0" xfId="0" applyNumberFormat="1" applyFont="1"/>
    <xf numFmtId="0" fontId="10" fillId="0" borderId="0" xfId="0" applyFont="1" applyAlignment="1">
      <alignment horizontal="right"/>
    </xf>
    <xf numFmtId="5" fontId="7" fillId="2" borderId="1" xfId="3" applyNumberFormat="1" applyFont="1" applyFill="1" applyBorder="1" applyAlignment="1">
      <alignment horizontal="center"/>
    </xf>
    <xf numFmtId="3" fontId="7" fillId="0" borderId="0" xfId="3" applyNumberFormat="1" applyFont="1"/>
    <xf numFmtId="164" fontId="7" fillId="4" borderId="0" xfId="0" applyNumberFormat="1" applyFont="1" applyFill="1" applyAlignment="1">
      <alignment horizontal="center"/>
    </xf>
    <xf numFmtId="2" fontId="10" fillId="0" borderId="0" xfId="0" applyNumberFormat="1" applyFont="1" applyAlignment="1">
      <alignment horizontal="center"/>
    </xf>
    <xf numFmtId="0" fontId="7" fillId="4" borderId="0" xfId="0" applyFont="1" applyFill="1" applyAlignment="1">
      <alignment horizontal="center"/>
    </xf>
    <xf numFmtId="0" fontId="8" fillId="0" borderId="0" xfId="0" applyFont="1" applyBorder="1"/>
    <xf numFmtId="49" fontId="7" fillId="2" borderId="1" xfId="0" applyNumberFormat="1" applyFont="1" applyFill="1" applyBorder="1" applyAlignment="1">
      <alignment horizontal="center"/>
    </xf>
    <xf numFmtId="167" fontId="7" fillId="2" borderId="1" xfId="0" applyNumberFormat="1" applyFont="1" applyFill="1" applyBorder="1" applyAlignment="1">
      <alignment horizontal="center"/>
    </xf>
    <xf numFmtId="14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0" fillId="4" borderId="0" xfId="0" applyFont="1" applyFill="1" applyAlignment="1">
      <alignment horizontal="left"/>
    </xf>
    <xf numFmtId="0" fontId="10" fillId="4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8" fillId="0" borderId="0" xfId="0" applyFont="1" applyFill="1" applyBorder="1" applyAlignment="1">
      <alignment horizontal="center"/>
    </xf>
    <xf numFmtId="1" fontId="13" fillId="0" borderId="0" xfId="2" applyNumberFormat="1" applyFont="1" applyFill="1" applyBorder="1" applyAlignment="1">
      <alignment horizontal="center"/>
    </xf>
    <xf numFmtId="1" fontId="8" fillId="0" borderId="0" xfId="2" applyNumberFormat="1" applyFont="1" applyFill="1" applyBorder="1" applyAlignment="1">
      <alignment horizontal="center"/>
    </xf>
    <xf numFmtId="0" fontId="8" fillId="4" borderId="0" xfId="0" applyFont="1" applyFill="1" applyAlignment="1">
      <alignment horizontal="center"/>
    </xf>
    <xf numFmtId="0" fontId="10" fillId="0" borderId="0" xfId="0" applyFont="1"/>
    <xf numFmtId="165" fontId="7" fillId="0" borderId="0" xfId="3" applyNumberFormat="1" applyFont="1" applyAlignment="1">
      <alignment horizontal="center"/>
    </xf>
    <xf numFmtId="2" fontId="8" fillId="0" borderId="0" xfId="0" applyNumberFormat="1" applyFont="1"/>
    <xf numFmtId="0" fontId="9" fillId="3" borderId="2" xfId="0" applyFont="1" applyFill="1" applyBorder="1" applyAlignment="1">
      <alignment horizontal="center"/>
    </xf>
    <xf numFmtId="0" fontId="9" fillId="3" borderId="0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1" fillId="3" borderId="0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171" fontId="7" fillId="2" borderId="1" xfId="0" applyNumberFormat="1" applyFont="1" applyFill="1" applyBorder="1" applyAlignment="1">
      <alignment horizontal="center"/>
    </xf>
    <xf numFmtId="10" fontId="7" fillId="2" borderId="1" xfId="5" applyNumberFormat="1" applyFont="1" applyFill="1" applyBorder="1" applyAlignment="1">
      <alignment horizontal="center"/>
    </xf>
  </cellXfs>
  <cellStyles count="98">
    <cellStyle name="_Heading_IS by Div Summary 1998-2002" xfId="4" xr:uid="{00000000-0005-0000-0000-000000000000}"/>
    <cellStyle name="Currency" xfId="3" builtinId="4"/>
    <cellStyle name="Currency 2" xfId="97" xr:uid="{D2E2CD3F-699F-554F-A36E-5512CDD9267E}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Normal" xfId="0" builtinId="0"/>
    <cellStyle name="Normal 10 2" xfId="1" xr:uid="{00000000-0005-0000-0000-00005F000000}"/>
    <cellStyle name="Normal 10 2 2" xfId="2" xr:uid="{00000000-0005-0000-0000-000060000000}"/>
    <cellStyle name="Normal 2" xfId="96" xr:uid="{CA4901C8-E17F-A74A-ABB9-89326C60E3B0}"/>
    <cellStyle name="Percent" xfId="5" builtinId="5"/>
  </cellStyles>
  <dxfs count="0"/>
  <tableStyles count="0" defaultTableStyle="TableStyleMedium2" defaultPivotStyle="PivotStyleLight16"/>
  <colors>
    <mruColors>
      <color rgb="FF63666A"/>
      <color rgb="FF00BF6F"/>
      <color rgb="FF005EB8"/>
      <color rgb="FFB1B3B3"/>
      <color rgb="FFFE5000"/>
      <color rgb="FF0066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Principal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Inputs!$B$18:$B$446</c:f>
              <c:numCache>
                <c:formatCode>yyyy\-mm\-dd</c:formatCode>
                <c:ptCount val="429"/>
                <c:pt idx="0">
                  <c:v>43952</c:v>
                </c:pt>
                <c:pt idx="1">
                  <c:v>43983</c:v>
                </c:pt>
                <c:pt idx="2">
                  <c:v>44013</c:v>
                </c:pt>
                <c:pt idx="3">
                  <c:v>44044</c:v>
                </c:pt>
                <c:pt idx="4">
                  <c:v>44075</c:v>
                </c:pt>
                <c:pt idx="5">
                  <c:v>44105</c:v>
                </c:pt>
                <c:pt idx="6">
                  <c:v>44136</c:v>
                </c:pt>
                <c:pt idx="7">
                  <c:v>44166</c:v>
                </c:pt>
                <c:pt idx="8">
                  <c:v>44197</c:v>
                </c:pt>
                <c:pt idx="9">
                  <c:v>44228</c:v>
                </c:pt>
                <c:pt idx="10">
                  <c:v>44256</c:v>
                </c:pt>
                <c:pt idx="11">
                  <c:v>44287</c:v>
                </c:pt>
                <c:pt idx="12">
                  <c:v>44317</c:v>
                </c:pt>
                <c:pt idx="13">
                  <c:v>44348</c:v>
                </c:pt>
                <c:pt idx="14">
                  <c:v>44378</c:v>
                </c:pt>
                <c:pt idx="15">
                  <c:v>44409</c:v>
                </c:pt>
                <c:pt idx="16">
                  <c:v>44440</c:v>
                </c:pt>
                <c:pt idx="17">
                  <c:v>44470</c:v>
                </c:pt>
                <c:pt idx="18">
                  <c:v>44501</c:v>
                </c:pt>
                <c:pt idx="19">
                  <c:v>44531</c:v>
                </c:pt>
                <c:pt idx="20">
                  <c:v>44562</c:v>
                </c:pt>
                <c:pt idx="21">
                  <c:v>44593</c:v>
                </c:pt>
                <c:pt idx="22">
                  <c:v>44621</c:v>
                </c:pt>
                <c:pt idx="23">
                  <c:v>44652</c:v>
                </c:pt>
                <c:pt idx="24">
                  <c:v>44682</c:v>
                </c:pt>
                <c:pt idx="25">
                  <c:v>44713</c:v>
                </c:pt>
                <c:pt idx="26">
                  <c:v>44743</c:v>
                </c:pt>
                <c:pt idx="27">
                  <c:v>44774</c:v>
                </c:pt>
                <c:pt idx="28">
                  <c:v>44805</c:v>
                </c:pt>
                <c:pt idx="29">
                  <c:v>44835</c:v>
                </c:pt>
                <c:pt idx="30">
                  <c:v>44866</c:v>
                </c:pt>
                <c:pt idx="31">
                  <c:v>44896</c:v>
                </c:pt>
                <c:pt idx="32">
                  <c:v>44927</c:v>
                </c:pt>
                <c:pt idx="33">
                  <c:v>44958</c:v>
                </c:pt>
                <c:pt idx="34">
                  <c:v>44986</c:v>
                </c:pt>
                <c:pt idx="35">
                  <c:v>45017</c:v>
                </c:pt>
                <c:pt idx="36">
                  <c:v>45047</c:v>
                </c:pt>
                <c:pt idx="37">
                  <c:v>45078</c:v>
                </c:pt>
                <c:pt idx="38">
                  <c:v>45108</c:v>
                </c:pt>
                <c:pt idx="39">
                  <c:v>45139</c:v>
                </c:pt>
                <c:pt idx="40">
                  <c:v>45170</c:v>
                </c:pt>
                <c:pt idx="41">
                  <c:v>45200</c:v>
                </c:pt>
                <c:pt idx="42">
                  <c:v>45231</c:v>
                </c:pt>
                <c:pt idx="43">
                  <c:v>45261</c:v>
                </c:pt>
                <c:pt idx="44">
                  <c:v>45292</c:v>
                </c:pt>
                <c:pt idx="45">
                  <c:v>45323</c:v>
                </c:pt>
                <c:pt idx="46">
                  <c:v>45352</c:v>
                </c:pt>
                <c:pt idx="47">
                  <c:v>45383</c:v>
                </c:pt>
                <c:pt idx="48">
                  <c:v>45413</c:v>
                </c:pt>
                <c:pt idx="49">
                  <c:v>45444</c:v>
                </c:pt>
                <c:pt idx="50">
                  <c:v>45474</c:v>
                </c:pt>
                <c:pt idx="51">
                  <c:v>45505</c:v>
                </c:pt>
                <c:pt idx="52">
                  <c:v>45536</c:v>
                </c:pt>
                <c:pt idx="53">
                  <c:v>45566</c:v>
                </c:pt>
                <c:pt idx="54">
                  <c:v>45597</c:v>
                </c:pt>
                <c:pt idx="55">
                  <c:v>45627</c:v>
                </c:pt>
                <c:pt idx="56">
                  <c:v>45658</c:v>
                </c:pt>
                <c:pt idx="57">
                  <c:v>45689</c:v>
                </c:pt>
                <c:pt idx="58">
                  <c:v>45717</c:v>
                </c:pt>
                <c:pt idx="59">
                  <c:v>45748</c:v>
                </c:pt>
                <c:pt idx="60">
                  <c:v>45778</c:v>
                </c:pt>
                <c:pt idx="61">
                  <c:v>45809</c:v>
                </c:pt>
                <c:pt idx="62">
                  <c:v>45839</c:v>
                </c:pt>
                <c:pt idx="63">
                  <c:v>45870</c:v>
                </c:pt>
                <c:pt idx="64">
                  <c:v>45901</c:v>
                </c:pt>
                <c:pt idx="65">
                  <c:v>45931</c:v>
                </c:pt>
                <c:pt idx="66">
                  <c:v>45962</c:v>
                </c:pt>
                <c:pt idx="67">
                  <c:v>45992</c:v>
                </c:pt>
                <c:pt idx="68">
                  <c:v>46023</c:v>
                </c:pt>
                <c:pt idx="69">
                  <c:v>46054</c:v>
                </c:pt>
                <c:pt idx="70">
                  <c:v>46082</c:v>
                </c:pt>
                <c:pt idx="71">
                  <c:v>46113</c:v>
                </c:pt>
                <c:pt idx="72">
                  <c:v>46143</c:v>
                </c:pt>
                <c:pt idx="73">
                  <c:v>46174</c:v>
                </c:pt>
                <c:pt idx="74">
                  <c:v>46204</c:v>
                </c:pt>
                <c:pt idx="75">
                  <c:v>46235</c:v>
                </c:pt>
                <c:pt idx="76">
                  <c:v>46266</c:v>
                </c:pt>
                <c:pt idx="77">
                  <c:v>46296</c:v>
                </c:pt>
                <c:pt idx="78">
                  <c:v>46327</c:v>
                </c:pt>
                <c:pt idx="79">
                  <c:v>46357</c:v>
                </c:pt>
                <c:pt idx="80">
                  <c:v>46388</c:v>
                </c:pt>
                <c:pt idx="81">
                  <c:v>46419</c:v>
                </c:pt>
                <c:pt idx="82">
                  <c:v>46447</c:v>
                </c:pt>
                <c:pt idx="83">
                  <c:v>46478</c:v>
                </c:pt>
                <c:pt idx="84">
                  <c:v>46508</c:v>
                </c:pt>
                <c:pt idx="85">
                  <c:v>46539</c:v>
                </c:pt>
                <c:pt idx="86">
                  <c:v>46569</c:v>
                </c:pt>
                <c:pt idx="87">
                  <c:v>46600</c:v>
                </c:pt>
                <c:pt idx="88">
                  <c:v>46631</c:v>
                </c:pt>
                <c:pt idx="89">
                  <c:v>46661</c:v>
                </c:pt>
                <c:pt idx="90">
                  <c:v>46692</c:v>
                </c:pt>
                <c:pt idx="91">
                  <c:v>46722</c:v>
                </c:pt>
                <c:pt idx="92">
                  <c:v>46753</c:v>
                </c:pt>
                <c:pt idx="93">
                  <c:v>46784</c:v>
                </c:pt>
                <c:pt idx="94">
                  <c:v>46813</c:v>
                </c:pt>
                <c:pt idx="95">
                  <c:v>46844</c:v>
                </c:pt>
                <c:pt idx="96">
                  <c:v>46874</c:v>
                </c:pt>
                <c:pt idx="97">
                  <c:v>46905</c:v>
                </c:pt>
                <c:pt idx="98">
                  <c:v>46935</c:v>
                </c:pt>
                <c:pt idx="99">
                  <c:v>46966</c:v>
                </c:pt>
                <c:pt idx="100">
                  <c:v>46997</c:v>
                </c:pt>
                <c:pt idx="101">
                  <c:v>47027</c:v>
                </c:pt>
                <c:pt idx="102">
                  <c:v>47058</c:v>
                </c:pt>
                <c:pt idx="103">
                  <c:v>47088</c:v>
                </c:pt>
                <c:pt idx="104">
                  <c:v>47119</c:v>
                </c:pt>
                <c:pt idx="105">
                  <c:v>47150</c:v>
                </c:pt>
                <c:pt idx="106">
                  <c:v>47178</c:v>
                </c:pt>
                <c:pt idx="107">
                  <c:v>47209</c:v>
                </c:pt>
                <c:pt idx="108">
                  <c:v>47239</c:v>
                </c:pt>
                <c:pt idx="109">
                  <c:v>47270</c:v>
                </c:pt>
                <c:pt idx="110">
                  <c:v>47300</c:v>
                </c:pt>
                <c:pt idx="111">
                  <c:v>47331</c:v>
                </c:pt>
                <c:pt idx="112">
                  <c:v>47362</c:v>
                </c:pt>
                <c:pt idx="113">
                  <c:v>47392</c:v>
                </c:pt>
                <c:pt idx="114">
                  <c:v>47423</c:v>
                </c:pt>
                <c:pt idx="115">
                  <c:v>47453</c:v>
                </c:pt>
                <c:pt idx="116">
                  <c:v>47484</c:v>
                </c:pt>
                <c:pt idx="117">
                  <c:v>47515</c:v>
                </c:pt>
                <c:pt idx="118">
                  <c:v>47543</c:v>
                </c:pt>
                <c:pt idx="119">
                  <c:v>47574</c:v>
                </c:pt>
                <c:pt idx="120">
                  <c:v>47604</c:v>
                </c:pt>
                <c:pt idx="121">
                  <c:v>47635</c:v>
                </c:pt>
                <c:pt idx="122">
                  <c:v>47665</c:v>
                </c:pt>
                <c:pt idx="123">
                  <c:v>47696</c:v>
                </c:pt>
              </c:numCache>
            </c:numRef>
          </c:xVal>
          <c:yVal>
            <c:numRef>
              <c:f>Inputs!$D$18:$D$446</c:f>
              <c:numCache>
                <c:formatCode>_("$"* #,##0_);_("$"* \(#,##0\);_("$"* "-"??_);_(@_)</c:formatCode>
                <c:ptCount val="429"/>
                <c:pt idx="0">
                  <c:v>420000</c:v>
                </c:pt>
                <c:pt idx="1">
                  <c:v>417137.29</c:v>
                </c:pt>
                <c:pt idx="2">
                  <c:v>414266.82999999996</c:v>
                </c:pt>
                <c:pt idx="3">
                  <c:v>411388.58999999997</c:v>
                </c:pt>
                <c:pt idx="4">
                  <c:v>408502.55999999994</c:v>
                </c:pt>
                <c:pt idx="5">
                  <c:v>405608.70999999996</c:v>
                </c:pt>
                <c:pt idx="6">
                  <c:v>402707.01999999996</c:v>
                </c:pt>
                <c:pt idx="7">
                  <c:v>399797.47</c:v>
                </c:pt>
                <c:pt idx="8">
                  <c:v>396880.04</c:v>
                </c:pt>
                <c:pt idx="9">
                  <c:v>393954.70999999996</c:v>
                </c:pt>
                <c:pt idx="10">
                  <c:v>391021.45999999996</c:v>
                </c:pt>
                <c:pt idx="11">
                  <c:v>388080.26999999996</c:v>
                </c:pt>
                <c:pt idx="12">
                  <c:v>385131.11</c:v>
                </c:pt>
                <c:pt idx="13">
                  <c:v>382173.95999999996</c:v>
                </c:pt>
                <c:pt idx="14">
                  <c:v>379208.8</c:v>
                </c:pt>
                <c:pt idx="15">
                  <c:v>376235.61</c:v>
                </c:pt>
                <c:pt idx="16">
                  <c:v>373254.37</c:v>
                </c:pt>
                <c:pt idx="17">
                  <c:v>370265.06</c:v>
                </c:pt>
                <c:pt idx="18">
                  <c:v>367267.65</c:v>
                </c:pt>
                <c:pt idx="19">
                  <c:v>364262.12</c:v>
                </c:pt>
                <c:pt idx="20">
                  <c:v>361248.45</c:v>
                </c:pt>
                <c:pt idx="21">
                  <c:v>358226.62</c:v>
                </c:pt>
                <c:pt idx="22">
                  <c:v>355196.61</c:v>
                </c:pt>
                <c:pt idx="23">
                  <c:v>352158.39</c:v>
                </c:pt>
                <c:pt idx="24">
                  <c:v>349111.94</c:v>
                </c:pt>
                <c:pt idx="25">
                  <c:v>346057.24</c:v>
                </c:pt>
                <c:pt idx="26">
                  <c:v>342994.27</c:v>
                </c:pt>
                <c:pt idx="27">
                  <c:v>339923</c:v>
                </c:pt>
                <c:pt idx="28">
                  <c:v>336843.41</c:v>
                </c:pt>
                <c:pt idx="29">
                  <c:v>333755.48</c:v>
                </c:pt>
                <c:pt idx="30">
                  <c:v>330659.19</c:v>
                </c:pt>
                <c:pt idx="31">
                  <c:v>327554.52</c:v>
                </c:pt>
                <c:pt idx="32">
                  <c:v>324441.44</c:v>
                </c:pt>
                <c:pt idx="33">
                  <c:v>321319.93</c:v>
                </c:pt>
                <c:pt idx="34">
                  <c:v>318189.96000000002</c:v>
                </c:pt>
                <c:pt idx="35">
                  <c:v>315051.51</c:v>
                </c:pt>
                <c:pt idx="36">
                  <c:v>311904.56</c:v>
                </c:pt>
                <c:pt idx="37">
                  <c:v>308749.09000000003</c:v>
                </c:pt>
                <c:pt idx="38">
                  <c:v>305585.08</c:v>
                </c:pt>
                <c:pt idx="39">
                  <c:v>302412.5</c:v>
                </c:pt>
                <c:pt idx="40">
                  <c:v>299231.32</c:v>
                </c:pt>
                <c:pt idx="41">
                  <c:v>296041.53000000003</c:v>
                </c:pt>
                <c:pt idx="42">
                  <c:v>292843.10000000003</c:v>
                </c:pt>
                <c:pt idx="43">
                  <c:v>289636.01</c:v>
                </c:pt>
                <c:pt idx="44">
                  <c:v>286420.23</c:v>
                </c:pt>
                <c:pt idx="45">
                  <c:v>283195.74</c:v>
                </c:pt>
                <c:pt idx="46">
                  <c:v>279962.52</c:v>
                </c:pt>
                <c:pt idx="47">
                  <c:v>276720.54000000004</c:v>
                </c:pt>
                <c:pt idx="48">
                  <c:v>273469.78000000003</c:v>
                </c:pt>
                <c:pt idx="49">
                  <c:v>270210.22000000003</c:v>
                </c:pt>
                <c:pt idx="50">
                  <c:v>266941.83</c:v>
                </c:pt>
                <c:pt idx="51">
                  <c:v>263664.59000000003</c:v>
                </c:pt>
                <c:pt idx="52">
                  <c:v>260378.47000000003</c:v>
                </c:pt>
                <c:pt idx="53">
                  <c:v>257083.45000000004</c:v>
                </c:pt>
                <c:pt idx="54">
                  <c:v>253779.51000000004</c:v>
                </c:pt>
                <c:pt idx="55">
                  <c:v>250466.62000000002</c:v>
                </c:pt>
                <c:pt idx="56">
                  <c:v>247144.76000000004</c:v>
                </c:pt>
                <c:pt idx="57">
                  <c:v>243813.90000000005</c:v>
                </c:pt>
                <c:pt idx="58">
                  <c:v>240474.02000000005</c:v>
                </c:pt>
                <c:pt idx="59">
                  <c:v>237125.09000000005</c:v>
                </c:pt>
                <c:pt idx="60">
                  <c:v>233767.09000000005</c:v>
                </c:pt>
                <c:pt idx="61">
                  <c:v>230400.00000000006</c:v>
                </c:pt>
                <c:pt idx="62">
                  <c:v>227023.79000000007</c:v>
                </c:pt>
                <c:pt idx="63">
                  <c:v>223638.44000000006</c:v>
                </c:pt>
                <c:pt idx="64">
                  <c:v>220243.92000000007</c:v>
                </c:pt>
                <c:pt idx="65">
                  <c:v>216840.20000000007</c:v>
                </c:pt>
                <c:pt idx="66">
                  <c:v>213427.27000000008</c:v>
                </c:pt>
                <c:pt idx="67">
                  <c:v>210005.09000000008</c:v>
                </c:pt>
                <c:pt idx="68">
                  <c:v>206573.64000000007</c:v>
                </c:pt>
                <c:pt idx="69">
                  <c:v>203132.90000000008</c:v>
                </c:pt>
                <c:pt idx="70">
                  <c:v>199682.84000000008</c:v>
                </c:pt>
                <c:pt idx="71">
                  <c:v>196223.44000000009</c:v>
                </c:pt>
                <c:pt idx="72">
                  <c:v>192754.6700000001</c:v>
                </c:pt>
                <c:pt idx="73">
                  <c:v>189276.50000000009</c:v>
                </c:pt>
                <c:pt idx="74">
                  <c:v>185788.91000000009</c:v>
                </c:pt>
                <c:pt idx="75">
                  <c:v>182291.88000000009</c:v>
                </c:pt>
                <c:pt idx="76">
                  <c:v>178785.38000000009</c:v>
                </c:pt>
                <c:pt idx="77">
                  <c:v>175269.38000000009</c:v>
                </c:pt>
                <c:pt idx="78">
                  <c:v>171743.8600000001</c:v>
                </c:pt>
                <c:pt idx="79">
                  <c:v>168208.7900000001</c:v>
                </c:pt>
                <c:pt idx="80">
                  <c:v>164664.15000000008</c:v>
                </c:pt>
                <c:pt idx="81">
                  <c:v>161109.91000000009</c:v>
                </c:pt>
                <c:pt idx="82">
                  <c:v>157546.0400000001</c:v>
                </c:pt>
                <c:pt idx="83">
                  <c:v>153972.52000000011</c:v>
                </c:pt>
                <c:pt idx="84">
                  <c:v>150389.32000000009</c:v>
                </c:pt>
                <c:pt idx="85">
                  <c:v>146796.41000000009</c:v>
                </c:pt>
                <c:pt idx="86">
                  <c:v>143193.77000000008</c:v>
                </c:pt>
                <c:pt idx="87">
                  <c:v>139581.38000000006</c:v>
                </c:pt>
                <c:pt idx="88">
                  <c:v>135959.20000000007</c:v>
                </c:pt>
                <c:pt idx="89">
                  <c:v>132327.21000000008</c:v>
                </c:pt>
                <c:pt idx="90">
                  <c:v>128685.39000000007</c:v>
                </c:pt>
                <c:pt idx="91">
                  <c:v>125033.70000000007</c:v>
                </c:pt>
                <c:pt idx="92">
                  <c:v>121372.12000000007</c:v>
                </c:pt>
                <c:pt idx="93">
                  <c:v>117700.63000000006</c:v>
                </c:pt>
                <c:pt idx="94">
                  <c:v>114019.19000000006</c:v>
                </c:pt>
                <c:pt idx="95">
                  <c:v>110327.78000000006</c:v>
                </c:pt>
                <c:pt idx="96">
                  <c:v>106626.37000000005</c:v>
                </c:pt>
                <c:pt idx="97">
                  <c:v>102914.94000000006</c:v>
                </c:pt>
                <c:pt idx="98">
                  <c:v>99193.460000000065</c:v>
                </c:pt>
                <c:pt idx="99">
                  <c:v>95461.900000000067</c:v>
                </c:pt>
                <c:pt idx="100">
                  <c:v>91720.230000000069</c:v>
                </c:pt>
                <c:pt idx="101">
                  <c:v>87968.430000000066</c:v>
                </c:pt>
                <c:pt idx="102">
                  <c:v>84206.470000000059</c:v>
                </c:pt>
                <c:pt idx="103">
                  <c:v>80434.320000000065</c:v>
                </c:pt>
                <c:pt idx="104">
                  <c:v>76651.95000000007</c:v>
                </c:pt>
                <c:pt idx="105">
                  <c:v>72859.340000000069</c:v>
                </c:pt>
                <c:pt idx="106">
                  <c:v>69056.460000000065</c:v>
                </c:pt>
                <c:pt idx="107">
                  <c:v>65243.280000000064</c:v>
                </c:pt>
                <c:pt idx="108">
                  <c:v>61419.770000000062</c:v>
                </c:pt>
                <c:pt idx="109">
                  <c:v>57585.910000000062</c:v>
                </c:pt>
                <c:pt idx="110">
                  <c:v>53741.660000000062</c:v>
                </c:pt>
                <c:pt idx="111">
                  <c:v>49887.000000000058</c:v>
                </c:pt>
                <c:pt idx="112">
                  <c:v>46021.90000000006</c:v>
                </c:pt>
                <c:pt idx="113">
                  <c:v>42146.33000000006</c:v>
                </c:pt>
                <c:pt idx="114">
                  <c:v>38260.270000000062</c:v>
                </c:pt>
                <c:pt idx="115">
                  <c:v>34363.680000000066</c:v>
                </c:pt>
                <c:pt idx="116">
                  <c:v>30456.540000000066</c:v>
                </c:pt>
                <c:pt idx="117">
                  <c:v>26538.820000000065</c:v>
                </c:pt>
                <c:pt idx="118">
                  <c:v>22610.490000000063</c:v>
                </c:pt>
                <c:pt idx="119">
                  <c:v>18671.520000000062</c:v>
                </c:pt>
                <c:pt idx="120">
                  <c:v>14721.880000000063</c:v>
                </c:pt>
                <c:pt idx="121">
                  <c:v>10761.540000000063</c:v>
                </c:pt>
                <c:pt idx="122">
                  <c:v>6790.4800000000632</c:v>
                </c:pt>
                <c:pt idx="123">
                  <c:v>2808.6600000000631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73-9E49-A342-3AAB7EFE3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9360047"/>
        <c:axId val="909361743"/>
      </c:scatterChart>
      <c:valAx>
        <c:axId val="909360047"/>
        <c:scaling>
          <c:orientation val="minMax"/>
          <c:min val="4318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yy" sourceLinked="0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8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361743"/>
        <c:crosses val="autoZero"/>
        <c:crossBetween val="midCat"/>
        <c:majorUnit val="1825"/>
        <c:minorUnit val="365"/>
      </c:valAx>
      <c:valAx>
        <c:axId val="909361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3600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876300</xdr:colOff>
          <xdr:row>11</xdr:row>
          <xdr:rowOff>38100</xdr:rowOff>
        </xdr:from>
        <xdr:to>
          <xdr:col>3</xdr:col>
          <xdr:colOff>38100</xdr:colOff>
          <xdr:row>13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80"/>
                  </a:solidFill>
                  <a:latin typeface="GE Inspira Sans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165100</xdr:colOff>
      <xdr:row>1</xdr:row>
      <xdr:rowOff>152400</xdr:rowOff>
    </xdr:from>
    <xdr:to>
      <xdr:col>8</xdr:col>
      <xdr:colOff>857250</xdr:colOff>
      <xdr:row>15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726"/>
  <sheetViews>
    <sheetView showGridLines="0" tabSelected="1" zoomScale="130" zoomScaleNormal="130" workbookViewId="0">
      <selection activeCell="C9" sqref="C9"/>
    </sheetView>
  </sheetViews>
  <sheetFormatPr baseColWidth="10" defaultColWidth="8.83203125" defaultRowHeight="15"/>
  <cols>
    <col min="1" max="1" width="10.5" style="5" customWidth="1"/>
    <col min="2" max="2" width="12.1640625" style="2" bestFit="1" customWidth="1"/>
    <col min="3" max="3" width="10" style="2" customWidth="1"/>
    <col min="4" max="4" width="12.83203125" style="6" bestFit="1" customWidth="1"/>
    <col min="5" max="6" width="9.1640625" style="6" bestFit="1" customWidth="1"/>
    <col min="7" max="7" width="8.5" style="6" bestFit="1" customWidth="1"/>
    <col min="8" max="8" width="12.33203125" style="7" bestFit="1" customWidth="1"/>
    <col min="9" max="9" width="11.5" style="8" bestFit="1" customWidth="1"/>
    <col min="10" max="10" width="36" style="9" customWidth="1"/>
    <col min="11" max="11" width="8.83203125" style="10"/>
    <col min="12" max="12" width="12.1640625" style="10" bestFit="1" customWidth="1"/>
    <col min="13" max="13" width="8.83203125" style="11"/>
    <col min="14" max="14" width="7.83203125" style="11" customWidth="1"/>
    <col min="15" max="15" width="8.6640625" style="2" customWidth="1"/>
    <col min="16" max="20" width="8.83203125" style="2"/>
    <col min="21" max="23" width="14" style="31" customWidth="1"/>
    <col min="24" max="24" width="8.83203125" style="31"/>
    <col min="25" max="25" width="19.1640625" style="31" customWidth="1"/>
    <col min="26" max="26" width="8.83203125" style="2"/>
    <col min="27" max="27" width="10.5" style="2" customWidth="1"/>
    <col min="28" max="28" width="8.83203125" style="2"/>
    <col min="29" max="29" width="22.6640625" style="2" customWidth="1"/>
    <col min="30" max="16384" width="8.83203125" style="2"/>
  </cols>
  <sheetData>
    <row r="1" spans="1:37" s="3" customFormat="1" ht="16.5" customHeight="1">
      <c r="A1" s="1"/>
      <c r="B1" s="34" t="s">
        <v>8</v>
      </c>
      <c r="C1" s="35"/>
      <c r="D1" s="35"/>
      <c r="E1" s="35"/>
      <c r="F1" s="35"/>
      <c r="G1" s="35"/>
      <c r="H1" s="35"/>
      <c r="I1" s="35"/>
      <c r="J1" s="2"/>
      <c r="K1" s="2"/>
      <c r="L1" s="2"/>
      <c r="M1" s="2"/>
      <c r="N1" s="2"/>
      <c r="O1" s="2"/>
      <c r="U1" s="4"/>
      <c r="V1" s="4"/>
      <c r="W1" s="4"/>
      <c r="X1" s="4"/>
      <c r="Y1" s="4"/>
    </row>
    <row r="2" spans="1:37">
      <c r="O2" s="3"/>
      <c r="U2" s="2"/>
      <c r="V2" s="2"/>
      <c r="W2" s="2"/>
      <c r="X2" s="2"/>
      <c r="Y2" s="2"/>
    </row>
    <row r="3" spans="1:37" ht="16">
      <c r="B3" s="36" t="s">
        <v>9</v>
      </c>
      <c r="C3" s="37"/>
      <c r="H3" s="6"/>
      <c r="I3" s="6"/>
      <c r="J3" s="2"/>
      <c r="K3" s="2"/>
      <c r="L3" s="2"/>
      <c r="M3" s="2"/>
      <c r="N3" s="2"/>
      <c r="U3" s="2"/>
      <c r="V3" s="2"/>
      <c r="W3" s="2"/>
      <c r="X3" s="2"/>
      <c r="Y3" s="2"/>
    </row>
    <row r="4" spans="1:37">
      <c r="H4" s="6"/>
      <c r="I4" s="6"/>
      <c r="J4" s="2"/>
      <c r="K4" s="2"/>
      <c r="L4" s="2"/>
      <c r="M4" s="2"/>
      <c r="N4" s="2"/>
      <c r="U4" s="2"/>
      <c r="V4" s="2"/>
      <c r="W4" s="2"/>
      <c r="X4" s="2"/>
      <c r="Y4" s="2"/>
    </row>
    <row r="5" spans="1:37">
      <c r="B5" s="12" t="s">
        <v>10</v>
      </c>
      <c r="C5" s="13">
        <v>420000</v>
      </c>
      <c r="H5" s="6"/>
      <c r="I5" s="6"/>
      <c r="J5" s="2"/>
      <c r="K5" s="2"/>
      <c r="L5" s="2"/>
      <c r="M5" s="2"/>
      <c r="N5" s="2"/>
      <c r="U5" s="2"/>
      <c r="V5" s="2"/>
      <c r="W5" s="2"/>
      <c r="X5" s="2"/>
      <c r="Y5" s="2"/>
    </row>
    <row r="6" spans="1:37">
      <c r="B6" s="12" t="s">
        <v>11</v>
      </c>
      <c r="C6" s="40">
        <v>3.2500000000000001E-2</v>
      </c>
      <c r="H6" s="6"/>
      <c r="I6" s="6"/>
      <c r="J6" s="2"/>
      <c r="K6" s="2"/>
      <c r="L6" s="2"/>
      <c r="M6" s="2"/>
      <c r="N6" s="2"/>
      <c r="R6" s="14"/>
      <c r="U6" s="2"/>
      <c r="V6" s="2"/>
      <c r="W6" s="2"/>
      <c r="X6" s="2"/>
      <c r="Y6" s="2"/>
      <c r="AD6" s="15"/>
      <c r="AE6" s="15"/>
      <c r="AF6" s="15"/>
      <c r="AG6" s="15"/>
      <c r="AH6" s="15"/>
      <c r="AI6" s="15"/>
      <c r="AJ6" s="15"/>
      <c r="AK6" s="15"/>
    </row>
    <row r="7" spans="1:37">
      <c r="B7" s="12" t="s">
        <v>12</v>
      </c>
      <c r="C7" s="38">
        <v>15</v>
      </c>
      <c r="H7" s="6"/>
      <c r="I7" s="16"/>
      <c r="J7" s="2"/>
      <c r="K7" s="2"/>
      <c r="L7" s="2"/>
      <c r="M7" s="2"/>
      <c r="N7" s="2"/>
      <c r="U7" s="2"/>
      <c r="V7" s="2"/>
      <c r="W7" s="2"/>
      <c r="X7" s="2"/>
      <c r="Y7" s="2"/>
      <c r="AD7" s="15"/>
      <c r="AE7" s="15"/>
      <c r="AF7" s="15"/>
      <c r="AG7" s="15"/>
      <c r="AH7" s="15"/>
      <c r="AI7" s="15"/>
      <c r="AJ7" s="15"/>
      <c r="AK7" s="15"/>
    </row>
    <row r="8" spans="1:37">
      <c r="B8" s="12" t="s">
        <v>14</v>
      </c>
      <c r="C8" s="13">
        <f>4000-2951</f>
        <v>1049</v>
      </c>
      <c r="H8" s="6"/>
      <c r="I8" s="6"/>
      <c r="J8" s="2"/>
      <c r="K8" s="2"/>
      <c r="L8" s="2"/>
      <c r="M8" s="2"/>
      <c r="N8" s="2"/>
      <c r="U8" s="2"/>
      <c r="V8" s="2"/>
      <c r="W8" s="2"/>
      <c r="X8" s="2"/>
      <c r="Y8" s="2"/>
      <c r="AD8" s="17"/>
      <c r="AE8" s="17"/>
      <c r="AF8" s="17"/>
      <c r="AG8" s="17"/>
      <c r="AH8" s="17"/>
      <c r="AI8" s="17"/>
      <c r="AJ8" s="17"/>
      <c r="AK8" s="17"/>
    </row>
    <row r="9" spans="1:37">
      <c r="A9" s="18"/>
      <c r="B9" s="12" t="s">
        <v>15</v>
      </c>
      <c r="C9" s="19">
        <v>12</v>
      </c>
      <c r="H9" s="6"/>
      <c r="I9" s="6"/>
      <c r="J9" s="2"/>
      <c r="K9" s="2"/>
      <c r="L9" s="2"/>
      <c r="M9" s="2"/>
      <c r="N9" s="2"/>
      <c r="U9" s="2"/>
      <c r="V9" s="2"/>
      <c r="W9" s="2"/>
      <c r="X9" s="2"/>
      <c r="Y9" s="2"/>
      <c r="AD9" s="17"/>
      <c r="AE9" s="17"/>
      <c r="AF9" s="17"/>
      <c r="AG9" s="17"/>
      <c r="AH9" s="17"/>
      <c r="AI9" s="17"/>
      <c r="AJ9" s="17"/>
      <c r="AK9" s="17"/>
    </row>
    <row r="10" spans="1:37">
      <c r="B10" s="12" t="s">
        <v>13</v>
      </c>
      <c r="C10" s="20">
        <v>43952</v>
      </c>
      <c r="H10" s="6"/>
      <c r="I10" s="6"/>
      <c r="J10" s="2"/>
      <c r="K10" s="2"/>
      <c r="L10" s="2"/>
      <c r="M10" s="2"/>
      <c r="N10" s="2"/>
      <c r="U10" s="2"/>
      <c r="V10" s="2"/>
      <c r="W10" s="2"/>
      <c r="X10" s="2"/>
      <c r="Y10" s="2"/>
      <c r="AD10" s="17"/>
      <c r="AE10" s="17"/>
      <c r="AF10" s="17"/>
      <c r="AG10" s="17"/>
      <c r="AH10" s="17"/>
      <c r="AI10" s="17"/>
      <c r="AJ10" s="17"/>
      <c r="AK10" s="17"/>
    </row>
    <row r="11" spans="1:37">
      <c r="B11" s="12"/>
      <c r="C11" s="12"/>
      <c r="H11" s="6"/>
      <c r="I11" s="6"/>
      <c r="J11" s="2"/>
      <c r="K11" s="2"/>
      <c r="L11" s="2"/>
      <c r="M11" s="2"/>
      <c r="N11" s="2"/>
      <c r="U11" s="2"/>
      <c r="V11" s="2"/>
      <c r="W11" s="2"/>
      <c r="X11" s="2"/>
      <c r="Y11" s="2"/>
      <c r="AD11" s="17"/>
      <c r="AE11" s="17"/>
      <c r="AF11" s="17"/>
      <c r="AG11" s="17"/>
      <c r="AH11" s="17"/>
      <c r="AI11" s="17"/>
      <c r="AJ11" s="17"/>
      <c r="AK11" s="17"/>
    </row>
    <row r="12" spans="1:37">
      <c r="B12" s="12"/>
      <c r="C12" s="12"/>
      <c r="H12" s="6"/>
      <c r="I12" s="6"/>
      <c r="J12" s="2"/>
      <c r="K12" s="2"/>
      <c r="L12" s="2"/>
      <c r="M12" s="2"/>
      <c r="N12" s="2"/>
      <c r="U12" s="2"/>
      <c r="V12" s="2"/>
      <c r="W12" s="2"/>
      <c r="X12" s="2"/>
      <c r="Y12" s="2"/>
      <c r="AD12" s="17"/>
      <c r="AE12" s="17"/>
      <c r="AF12" s="17"/>
      <c r="AG12" s="17"/>
      <c r="AH12" s="17"/>
      <c r="AI12" s="17"/>
      <c r="AJ12" s="17"/>
      <c r="AK12" s="17"/>
    </row>
    <row r="13" spans="1:37">
      <c r="A13" s="33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U13" s="2"/>
      <c r="V13" s="2"/>
      <c r="W13" s="2"/>
      <c r="X13" s="2"/>
      <c r="Y13" s="2"/>
      <c r="AD13" s="17"/>
      <c r="AE13" s="17"/>
      <c r="AF13" s="17"/>
      <c r="AG13" s="17"/>
      <c r="AH13" s="17"/>
      <c r="AI13" s="17"/>
      <c r="AJ13" s="17"/>
      <c r="AK13" s="17"/>
    </row>
    <row r="14" spans="1:37">
      <c r="A14" s="5">
        <v>0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U14" s="2"/>
      <c r="V14" s="2"/>
      <c r="W14" s="2"/>
      <c r="X14" s="2"/>
      <c r="Y14" s="2"/>
      <c r="AD14" s="17"/>
      <c r="AE14" s="17"/>
      <c r="AF14" s="17"/>
      <c r="AG14" s="17"/>
      <c r="AH14" s="17"/>
      <c r="AI14" s="17"/>
      <c r="AJ14" s="17"/>
      <c r="AK14" s="17"/>
    </row>
    <row r="15" spans="1:37">
      <c r="A15" s="5">
        <v>1</v>
      </c>
      <c r="B15" s="12" t="s">
        <v>16</v>
      </c>
      <c r="C15" s="20">
        <v>47696</v>
      </c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U15" s="2"/>
      <c r="V15" s="2"/>
      <c r="W15" s="2"/>
      <c r="X15" s="2"/>
      <c r="Y15" s="2"/>
      <c r="AD15" s="17"/>
      <c r="AE15" s="17"/>
      <c r="AF15" s="17"/>
      <c r="AG15" s="17"/>
      <c r="AH15" s="17"/>
      <c r="AI15" s="17"/>
      <c r="AJ15" s="17"/>
      <c r="AK15" s="17"/>
    </row>
    <row r="16" spans="1:37">
      <c r="B16" s="12" t="s">
        <v>17</v>
      </c>
      <c r="C16" s="39">
        <f>SUM(E18:E1041)+SUM(H18:H1041)</f>
        <v>494842.10000000056</v>
      </c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U16" s="2"/>
      <c r="V16" s="2"/>
      <c r="W16" s="2"/>
      <c r="X16" s="2"/>
      <c r="Y16" s="2"/>
      <c r="AD16" s="17"/>
      <c r="AE16" s="17"/>
      <c r="AF16" s="17"/>
      <c r="AG16" s="17"/>
      <c r="AH16" s="17"/>
      <c r="AI16" s="17"/>
      <c r="AJ16" s="17"/>
      <c r="AK16" s="17"/>
    </row>
    <row r="17" spans="1:37">
      <c r="B17" s="21" t="s">
        <v>0</v>
      </c>
      <c r="C17" s="22" t="s">
        <v>2</v>
      </c>
      <c r="D17" s="6" t="s">
        <v>3</v>
      </c>
      <c r="E17" s="6" t="s">
        <v>4</v>
      </c>
      <c r="F17" s="6" t="s">
        <v>1</v>
      </c>
      <c r="G17" s="6" t="s">
        <v>5</v>
      </c>
      <c r="H17" s="6" t="s">
        <v>6</v>
      </c>
      <c r="I17" s="6" t="s">
        <v>7</v>
      </c>
      <c r="J17" s="2"/>
      <c r="K17" s="2"/>
      <c r="L17" s="2"/>
      <c r="M17" s="2"/>
      <c r="N17" s="2"/>
      <c r="U17" s="2"/>
      <c r="V17" s="2"/>
      <c r="W17" s="2"/>
      <c r="X17" s="2"/>
      <c r="Y17" s="2"/>
      <c r="AD17" s="17"/>
      <c r="AE17" s="17"/>
      <c r="AF17" s="17"/>
      <c r="AG17" s="17"/>
      <c r="AH17" s="17"/>
      <c r="AI17" s="17"/>
      <c r="AJ17" s="17"/>
      <c r="AK17" s="17"/>
    </row>
    <row r="18" spans="1:37">
      <c r="A18" s="5">
        <v>0</v>
      </c>
      <c r="B18" s="23">
        <v>43952</v>
      </c>
      <c r="C18" s="22">
        <v>1</v>
      </c>
      <c r="D18" s="6">
        <v>420000</v>
      </c>
      <c r="E18" s="6">
        <v>2951.21</v>
      </c>
      <c r="F18" s="6">
        <v>1813.71</v>
      </c>
      <c r="G18" s="6">
        <v>1137.5</v>
      </c>
      <c r="H18" s="6">
        <v>1049</v>
      </c>
      <c r="I18" s="6">
        <v>417137.29</v>
      </c>
      <c r="J18" s="2"/>
      <c r="K18" s="2"/>
      <c r="L18" s="2"/>
      <c r="M18" s="2"/>
      <c r="N18" s="2"/>
      <c r="U18" s="2"/>
      <c r="V18" s="2"/>
      <c r="W18" s="2"/>
      <c r="X18" s="2"/>
      <c r="Y18" s="2"/>
      <c r="AD18" s="17"/>
      <c r="AE18" s="17"/>
      <c r="AF18" s="17"/>
      <c r="AG18" s="17"/>
      <c r="AH18" s="17"/>
      <c r="AI18" s="17"/>
      <c r="AJ18" s="17"/>
      <c r="AK18" s="17"/>
    </row>
    <row r="19" spans="1:37">
      <c r="A19" s="5">
        <v>1</v>
      </c>
      <c r="B19" s="23">
        <v>43983</v>
      </c>
      <c r="C19" s="22">
        <v>2</v>
      </c>
      <c r="D19" s="6">
        <v>417137.29</v>
      </c>
      <c r="E19" s="6">
        <v>2951.21</v>
      </c>
      <c r="F19" s="6">
        <v>1821.46</v>
      </c>
      <c r="G19" s="6">
        <v>1129.75</v>
      </c>
      <c r="H19" s="6">
        <v>1049</v>
      </c>
      <c r="I19" s="6">
        <v>414266.82999999996</v>
      </c>
      <c r="J19" s="2"/>
      <c r="K19" s="2"/>
      <c r="L19" s="2"/>
      <c r="M19" s="2"/>
      <c r="N19" s="2"/>
      <c r="U19" s="2"/>
      <c r="V19" s="2"/>
      <c r="W19" s="2"/>
      <c r="X19" s="2"/>
      <c r="Y19" s="2"/>
      <c r="AD19" s="17"/>
      <c r="AE19" s="17"/>
      <c r="AF19" s="17"/>
      <c r="AG19" s="17"/>
      <c r="AH19" s="17"/>
      <c r="AI19" s="17"/>
      <c r="AJ19" s="17"/>
      <c r="AK19" s="17"/>
    </row>
    <row r="20" spans="1:37">
      <c r="A20" s="5">
        <v>2</v>
      </c>
      <c r="B20" s="23">
        <v>44013</v>
      </c>
      <c r="C20" s="22">
        <v>3</v>
      </c>
      <c r="D20" s="6">
        <v>414266.82999999996</v>
      </c>
      <c r="E20" s="6">
        <v>2951.21</v>
      </c>
      <c r="F20" s="6">
        <v>1829.24</v>
      </c>
      <c r="G20" s="6">
        <v>1121.97</v>
      </c>
      <c r="H20" s="6">
        <v>1049</v>
      </c>
      <c r="I20" s="6">
        <v>411388.58999999997</v>
      </c>
      <c r="J20" s="2"/>
      <c r="K20" s="2"/>
      <c r="L20" s="2"/>
      <c r="M20" s="2"/>
      <c r="N20" s="2"/>
      <c r="U20" s="2"/>
      <c r="V20" s="2"/>
      <c r="W20" s="2"/>
      <c r="X20" s="2"/>
      <c r="Y20" s="2"/>
      <c r="AD20" s="17"/>
      <c r="AE20" s="17"/>
      <c r="AF20" s="17"/>
      <c r="AG20" s="17"/>
      <c r="AH20" s="17"/>
      <c r="AI20" s="17"/>
      <c r="AJ20" s="17"/>
      <c r="AK20" s="17"/>
    </row>
    <row r="21" spans="1:37">
      <c r="A21" s="5">
        <v>3</v>
      </c>
      <c r="B21" s="23">
        <v>44044</v>
      </c>
      <c r="C21" s="22">
        <v>4</v>
      </c>
      <c r="D21" s="6">
        <v>411388.58999999997</v>
      </c>
      <c r="E21" s="6">
        <v>2951.21</v>
      </c>
      <c r="F21" s="6">
        <v>1837.03</v>
      </c>
      <c r="G21" s="6">
        <v>1114.18</v>
      </c>
      <c r="H21" s="6">
        <v>1049</v>
      </c>
      <c r="I21" s="6">
        <v>408502.55999999994</v>
      </c>
      <c r="J21" s="2"/>
      <c r="K21" s="2"/>
      <c r="L21" s="2"/>
      <c r="M21" s="2"/>
      <c r="N21" s="2"/>
      <c r="U21" s="2"/>
      <c r="V21" s="2"/>
      <c r="W21" s="2"/>
      <c r="X21" s="2"/>
      <c r="Y21" s="2"/>
      <c r="AD21" s="17"/>
      <c r="AE21" s="17"/>
      <c r="AF21" s="17"/>
      <c r="AG21" s="17"/>
      <c r="AH21" s="17"/>
      <c r="AI21" s="17"/>
      <c r="AJ21" s="17"/>
      <c r="AK21" s="17"/>
    </row>
    <row r="22" spans="1:37">
      <c r="A22" s="5">
        <v>4</v>
      </c>
      <c r="B22" s="23">
        <v>44075</v>
      </c>
      <c r="C22" s="22">
        <v>5</v>
      </c>
      <c r="D22" s="6">
        <v>408502.55999999994</v>
      </c>
      <c r="E22" s="6">
        <v>2951.21</v>
      </c>
      <c r="F22" s="6">
        <v>1844.8500000000001</v>
      </c>
      <c r="G22" s="6">
        <v>1106.3599999999999</v>
      </c>
      <c r="H22" s="6">
        <v>1049</v>
      </c>
      <c r="I22" s="6">
        <v>405608.70999999996</v>
      </c>
      <c r="J22" s="2"/>
      <c r="K22" s="2"/>
      <c r="L22" s="2"/>
      <c r="M22" s="2"/>
      <c r="N22" s="2"/>
      <c r="U22" s="2"/>
      <c r="V22" s="2"/>
      <c r="W22" s="2"/>
      <c r="X22" s="2"/>
      <c r="Y22" s="2"/>
      <c r="AD22" s="17"/>
      <c r="AE22" s="17"/>
      <c r="AF22" s="17"/>
      <c r="AG22" s="17"/>
      <c r="AH22" s="17"/>
      <c r="AI22" s="17"/>
      <c r="AJ22" s="17"/>
      <c r="AK22" s="17"/>
    </row>
    <row r="23" spans="1:37" ht="16.5" customHeight="1">
      <c r="A23" s="5">
        <v>5</v>
      </c>
      <c r="B23" s="23">
        <v>44105</v>
      </c>
      <c r="C23" s="22">
        <v>6</v>
      </c>
      <c r="D23" s="6">
        <v>405608.70999999996</v>
      </c>
      <c r="E23" s="6">
        <v>2951.21</v>
      </c>
      <c r="F23" s="6">
        <v>1852.69</v>
      </c>
      <c r="G23" s="6">
        <v>1098.52</v>
      </c>
      <c r="H23" s="6">
        <v>1049</v>
      </c>
      <c r="I23" s="6">
        <v>402707.01999999996</v>
      </c>
      <c r="J23" s="2"/>
      <c r="K23" s="2"/>
      <c r="L23" s="2"/>
      <c r="M23" s="2"/>
      <c r="N23" s="2"/>
      <c r="U23" s="2"/>
      <c r="V23" s="2"/>
      <c r="W23" s="2"/>
      <c r="X23" s="2"/>
      <c r="Y23" s="2"/>
      <c r="AD23" s="17"/>
      <c r="AE23" s="17"/>
      <c r="AF23" s="17"/>
      <c r="AG23" s="17"/>
      <c r="AH23" s="17"/>
      <c r="AI23" s="17"/>
      <c r="AJ23" s="17"/>
      <c r="AK23" s="17"/>
    </row>
    <row r="24" spans="1:37" ht="16.5" customHeight="1">
      <c r="A24" s="5">
        <v>6</v>
      </c>
      <c r="B24" s="23">
        <v>44136</v>
      </c>
      <c r="C24" s="22">
        <v>7</v>
      </c>
      <c r="D24" s="6">
        <v>402707.01999999996</v>
      </c>
      <c r="E24" s="6">
        <v>2951.21</v>
      </c>
      <c r="F24" s="6">
        <v>1860.55</v>
      </c>
      <c r="G24" s="6">
        <v>1090.6600000000001</v>
      </c>
      <c r="H24" s="6">
        <v>1049</v>
      </c>
      <c r="I24" s="6">
        <v>399797.47</v>
      </c>
      <c r="J24" s="2"/>
      <c r="K24" s="2"/>
      <c r="L24" s="2"/>
      <c r="M24" s="2"/>
      <c r="N24" s="2"/>
      <c r="U24" s="2"/>
      <c r="V24" s="2"/>
      <c r="W24" s="2"/>
      <c r="X24" s="2"/>
      <c r="Y24" s="2"/>
      <c r="AD24" s="17"/>
      <c r="AE24" s="17"/>
      <c r="AF24" s="17"/>
      <c r="AG24" s="17"/>
      <c r="AH24" s="17"/>
      <c r="AI24" s="17"/>
      <c r="AJ24" s="17"/>
      <c r="AK24" s="17"/>
    </row>
    <row r="25" spans="1:37" ht="16.5" customHeight="1">
      <c r="A25" s="5">
        <v>7</v>
      </c>
      <c r="B25" s="23">
        <v>44166</v>
      </c>
      <c r="C25" s="22">
        <v>8</v>
      </c>
      <c r="D25" s="6">
        <v>399797.47</v>
      </c>
      <c r="E25" s="6">
        <v>2951.21</v>
      </c>
      <c r="F25" s="6">
        <v>1868.43</v>
      </c>
      <c r="G25" s="6">
        <v>1082.78</v>
      </c>
      <c r="H25" s="6">
        <v>1049</v>
      </c>
      <c r="I25" s="6">
        <v>396880.04</v>
      </c>
      <c r="J25" s="2"/>
      <c r="K25" s="2"/>
      <c r="L25" s="2"/>
      <c r="M25" s="2"/>
      <c r="N25" s="2"/>
      <c r="T25" s="17"/>
      <c r="U25" s="24"/>
      <c r="V25" s="24"/>
      <c r="W25" s="24"/>
      <c r="X25" s="25"/>
      <c r="Y25" s="25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</row>
    <row r="26" spans="1:37" s="17" customFormat="1" ht="16.5" customHeight="1">
      <c r="A26" s="5">
        <v>8</v>
      </c>
      <c r="B26" s="23">
        <v>44197</v>
      </c>
      <c r="C26" s="22">
        <v>9</v>
      </c>
      <c r="D26" s="6">
        <v>396880.04</v>
      </c>
      <c r="E26" s="6">
        <v>2951.21</v>
      </c>
      <c r="F26" s="6">
        <v>1876.33</v>
      </c>
      <c r="G26" s="6">
        <v>1074.8800000000001</v>
      </c>
      <c r="H26" s="6">
        <v>1049</v>
      </c>
      <c r="I26" s="6">
        <v>393954.70999999996</v>
      </c>
      <c r="J26" s="2"/>
      <c r="K26" s="2"/>
      <c r="L26" s="2"/>
      <c r="M26" s="2"/>
      <c r="N26" s="2"/>
      <c r="O26" s="2"/>
      <c r="P26" s="2"/>
      <c r="Q26" s="2"/>
      <c r="R26" s="2"/>
      <c r="T26" s="26"/>
      <c r="U26" s="24"/>
      <c r="V26" s="24"/>
      <c r="W26" s="24"/>
      <c r="X26" s="25"/>
      <c r="Y26" s="25"/>
    </row>
    <row r="27" spans="1:37" s="26" customFormat="1" ht="16.5" customHeight="1">
      <c r="A27" s="5">
        <v>9</v>
      </c>
      <c r="B27" s="23">
        <v>44228</v>
      </c>
      <c r="C27" s="22">
        <v>10</v>
      </c>
      <c r="D27" s="6">
        <v>393954.70999999996</v>
      </c>
      <c r="E27" s="6">
        <v>2951.21</v>
      </c>
      <c r="F27" s="6">
        <v>1884.25</v>
      </c>
      <c r="G27" s="6">
        <v>1066.96</v>
      </c>
      <c r="H27" s="6">
        <v>1049</v>
      </c>
      <c r="I27" s="6">
        <v>391021.45999999996</v>
      </c>
      <c r="J27" s="2"/>
      <c r="K27" s="2"/>
      <c r="L27" s="2"/>
      <c r="M27" s="2"/>
      <c r="N27" s="2"/>
      <c r="O27" s="2"/>
      <c r="P27" s="2"/>
      <c r="Q27" s="2"/>
      <c r="R27" s="2"/>
      <c r="T27" s="17"/>
      <c r="U27" s="24"/>
      <c r="V27" s="24"/>
      <c r="W27" s="24"/>
      <c r="X27" s="25"/>
      <c r="Y27" s="25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</row>
    <row r="28" spans="1:37" s="17" customFormat="1" ht="16.5" customHeight="1">
      <c r="A28" s="5">
        <v>10</v>
      </c>
      <c r="B28" s="23">
        <v>44256</v>
      </c>
      <c r="C28" s="22">
        <v>11</v>
      </c>
      <c r="D28" s="6">
        <v>391021.45999999996</v>
      </c>
      <c r="E28" s="6">
        <v>2951.21</v>
      </c>
      <c r="F28" s="6">
        <v>1892.19</v>
      </c>
      <c r="G28" s="6">
        <v>1059.02</v>
      </c>
      <c r="H28" s="6">
        <v>1049</v>
      </c>
      <c r="I28" s="6">
        <v>388080.26999999996</v>
      </c>
      <c r="J28" s="2"/>
      <c r="K28" s="2"/>
      <c r="L28" s="2"/>
      <c r="M28" s="2"/>
      <c r="N28" s="2"/>
      <c r="O28" s="2"/>
      <c r="P28" s="2"/>
      <c r="Q28" s="2"/>
      <c r="R28" s="2"/>
      <c r="U28" s="24"/>
      <c r="V28" s="24"/>
      <c r="W28" s="24"/>
      <c r="X28" s="25"/>
      <c r="Y28" s="25"/>
    </row>
    <row r="29" spans="1:37" s="17" customFormat="1" ht="16.5" customHeight="1">
      <c r="A29" s="5">
        <v>11</v>
      </c>
      <c r="B29" s="23">
        <v>44287</v>
      </c>
      <c r="C29" s="22">
        <v>12</v>
      </c>
      <c r="D29" s="6">
        <v>388080.26999999996</v>
      </c>
      <c r="E29" s="6">
        <v>2951.21</v>
      </c>
      <c r="F29" s="6">
        <v>1900.16</v>
      </c>
      <c r="G29" s="6">
        <v>1051.05</v>
      </c>
      <c r="H29" s="6">
        <v>1049</v>
      </c>
      <c r="I29" s="6">
        <v>385131.11</v>
      </c>
      <c r="J29" s="2"/>
      <c r="K29" s="2"/>
      <c r="L29" s="2"/>
      <c r="M29" s="2"/>
      <c r="N29" s="2"/>
      <c r="O29" s="2"/>
      <c r="P29" s="2"/>
      <c r="Q29" s="2"/>
      <c r="R29" s="2"/>
      <c r="U29" s="24"/>
      <c r="V29" s="24"/>
      <c r="W29" s="24"/>
      <c r="X29" s="25"/>
      <c r="Y29" s="25"/>
    </row>
    <row r="30" spans="1:37" s="17" customFormat="1" ht="16.5" customHeight="1">
      <c r="A30" s="5">
        <v>12</v>
      </c>
      <c r="B30" s="23">
        <v>44317</v>
      </c>
      <c r="C30" s="22">
        <v>13</v>
      </c>
      <c r="D30" s="6">
        <v>385131.11</v>
      </c>
      <c r="E30" s="6">
        <v>2951.21</v>
      </c>
      <c r="F30" s="6">
        <v>1908.15</v>
      </c>
      <c r="G30" s="6">
        <v>1043.06</v>
      </c>
      <c r="H30" s="6">
        <v>1049</v>
      </c>
      <c r="I30" s="6">
        <v>382173.95999999996</v>
      </c>
      <c r="J30" s="2"/>
      <c r="K30" s="2"/>
      <c r="L30" s="2"/>
      <c r="M30" s="2"/>
      <c r="N30" s="2"/>
      <c r="O30" s="2"/>
      <c r="P30" s="2"/>
      <c r="Q30" s="2"/>
      <c r="R30" s="2"/>
      <c r="U30" s="24"/>
      <c r="V30" s="24"/>
      <c r="W30" s="24"/>
      <c r="X30" s="25"/>
      <c r="Y30" s="25"/>
    </row>
    <row r="31" spans="1:37" s="17" customFormat="1" ht="16.5" customHeight="1">
      <c r="A31" s="5">
        <v>13</v>
      </c>
      <c r="B31" s="23">
        <v>44348</v>
      </c>
      <c r="C31" s="22">
        <v>14</v>
      </c>
      <c r="D31" s="6">
        <v>382173.95999999996</v>
      </c>
      <c r="E31" s="6">
        <v>2951.21</v>
      </c>
      <c r="F31" s="6">
        <v>1916.16</v>
      </c>
      <c r="G31" s="6">
        <v>1035.05</v>
      </c>
      <c r="H31" s="6">
        <v>1049</v>
      </c>
      <c r="I31" s="6">
        <v>379208.8</v>
      </c>
      <c r="J31" s="2"/>
      <c r="K31" s="2"/>
      <c r="L31" s="2"/>
      <c r="M31" s="2"/>
      <c r="N31" s="2"/>
      <c r="O31" s="2"/>
      <c r="P31" s="2"/>
      <c r="Q31" s="2"/>
      <c r="R31" s="2"/>
      <c r="U31" s="24"/>
      <c r="V31" s="24"/>
      <c r="W31" s="24"/>
      <c r="X31" s="25"/>
      <c r="Y31" s="25"/>
    </row>
    <row r="32" spans="1:37" s="17" customFormat="1" ht="16.5" customHeight="1">
      <c r="A32" s="5">
        <v>14</v>
      </c>
      <c r="B32" s="23">
        <v>44378</v>
      </c>
      <c r="C32" s="22">
        <v>15</v>
      </c>
      <c r="D32" s="6">
        <v>379208.8</v>
      </c>
      <c r="E32" s="6">
        <v>2951.21</v>
      </c>
      <c r="F32" s="6">
        <v>1924.19</v>
      </c>
      <c r="G32" s="6">
        <v>1027.02</v>
      </c>
      <c r="H32" s="6">
        <v>1049</v>
      </c>
      <c r="I32" s="6">
        <v>376235.61</v>
      </c>
      <c r="J32" s="2"/>
      <c r="K32" s="2"/>
      <c r="L32" s="2"/>
      <c r="M32" s="2"/>
      <c r="N32" s="2"/>
      <c r="O32" s="2"/>
      <c r="P32" s="2"/>
      <c r="Q32" s="2"/>
      <c r="R32" s="2"/>
      <c r="U32" s="25"/>
      <c r="V32" s="25"/>
      <c r="W32" s="25"/>
      <c r="X32" s="25"/>
      <c r="Y32" s="25"/>
    </row>
    <row r="33" spans="1:25" s="17" customFormat="1" ht="16.5" customHeight="1">
      <c r="A33" s="27">
        <v>15</v>
      </c>
      <c r="B33" s="23">
        <v>44409</v>
      </c>
      <c r="C33" s="22">
        <v>16</v>
      </c>
      <c r="D33" s="6">
        <v>376235.61</v>
      </c>
      <c r="E33" s="6">
        <v>2951.21</v>
      </c>
      <c r="F33" s="6">
        <v>1932.24</v>
      </c>
      <c r="G33" s="6">
        <v>1018.97</v>
      </c>
      <c r="H33" s="6">
        <v>1049</v>
      </c>
      <c r="I33" s="6">
        <v>373254.37</v>
      </c>
      <c r="J33" s="2"/>
      <c r="K33" s="2"/>
      <c r="L33" s="2"/>
      <c r="M33" s="2"/>
      <c r="N33" s="2"/>
      <c r="O33" s="2"/>
      <c r="P33" s="2"/>
      <c r="Q33" s="2"/>
      <c r="R33" s="2"/>
      <c r="U33" s="25"/>
      <c r="V33" s="25"/>
      <c r="W33" s="25"/>
      <c r="X33" s="25"/>
      <c r="Y33" s="25"/>
    </row>
    <row r="34" spans="1:25" s="17" customFormat="1" ht="16.5" customHeight="1">
      <c r="A34" s="28">
        <v>16</v>
      </c>
      <c r="B34" s="23">
        <v>44440</v>
      </c>
      <c r="C34" s="22">
        <v>17</v>
      </c>
      <c r="D34" s="6">
        <v>373254.37</v>
      </c>
      <c r="E34" s="6">
        <v>2951.21</v>
      </c>
      <c r="F34" s="6">
        <v>1940.31</v>
      </c>
      <c r="G34" s="6">
        <v>1010.9</v>
      </c>
      <c r="H34" s="6">
        <v>1049</v>
      </c>
      <c r="I34" s="6">
        <v>370265.06</v>
      </c>
      <c r="J34" s="2"/>
      <c r="K34" s="2"/>
      <c r="L34" s="2"/>
      <c r="M34" s="2"/>
      <c r="N34" s="2"/>
      <c r="O34" s="2"/>
      <c r="P34" s="2"/>
      <c r="Q34" s="2"/>
      <c r="R34" s="2"/>
      <c r="U34" s="25"/>
      <c r="V34" s="25"/>
      <c r="W34" s="25"/>
      <c r="X34" s="25"/>
      <c r="Y34" s="25"/>
    </row>
    <row r="35" spans="1:25" s="17" customFormat="1" ht="16.5" customHeight="1">
      <c r="A35" s="29">
        <v>17</v>
      </c>
      <c r="B35" s="23">
        <v>44470</v>
      </c>
      <c r="C35" s="22">
        <v>18</v>
      </c>
      <c r="D35" s="6">
        <v>370265.06</v>
      </c>
      <c r="E35" s="6">
        <v>2951.21</v>
      </c>
      <c r="F35" s="6">
        <v>1948.41</v>
      </c>
      <c r="G35" s="6">
        <v>1002.8</v>
      </c>
      <c r="H35" s="6">
        <v>1049</v>
      </c>
      <c r="I35" s="6">
        <v>367267.65</v>
      </c>
      <c r="J35" s="2"/>
      <c r="K35" s="2"/>
      <c r="L35" s="2"/>
      <c r="M35" s="2"/>
      <c r="N35" s="2"/>
      <c r="O35" s="2"/>
      <c r="P35" s="2"/>
      <c r="Q35" s="2"/>
      <c r="R35" s="2"/>
      <c r="U35" s="25"/>
      <c r="V35" s="25"/>
      <c r="W35" s="25"/>
      <c r="X35" s="25"/>
      <c r="Y35" s="25"/>
    </row>
    <row r="36" spans="1:25" s="17" customFormat="1" ht="16.5" customHeight="1">
      <c r="A36" s="30">
        <v>18</v>
      </c>
      <c r="B36" s="23">
        <v>44501</v>
      </c>
      <c r="C36" s="22">
        <v>19</v>
      </c>
      <c r="D36" s="6">
        <v>367267.65</v>
      </c>
      <c r="E36" s="6">
        <v>2951.21</v>
      </c>
      <c r="F36" s="6">
        <v>1956.5300000000002</v>
      </c>
      <c r="G36" s="6">
        <v>994.68</v>
      </c>
      <c r="H36" s="6">
        <v>1049</v>
      </c>
      <c r="I36" s="6">
        <v>364262.12</v>
      </c>
      <c r="J36" s="2"/>
      <c r="K36" s="2"/>
      <c r="L36" s="2"/>
      <c r="M36" s="2"/>
      <c r="N36" s="2"/>
      <c r="O36" s="2"/>
      <c r="P36" s="2"/>
      <c r="Q36" s="2"/>
      <c r="R36" s="2"/>
      <c r="U36" s="25"/>
      <c r="V36" s="25"/>
      <c r="W36" s="25"/>
      <c r="X36" s="25"/>
      <c r="Y36" s="25"/>
    </row>
    <row r="37" spans="1:25" s="17" customFormat="1" ht="16.5" customHeight="1">
      <c r="A37" s="30">
        <v>19</v>
      </c>
      <c r="B37" s="23">
        <v>44531</v>
      </c>
      <c r="C37" s="22">
        <v>20</v>
      </c>
      <c r="D37" s="6">
        <v>364262.12</v>
      </c>
      <c r="E37" s="6">
        <v>2951.21</v>
      </c>
      <c r="F37" s="6">
        <v>1964.67</v>
      </c>
      <c r="G37" s="6">
        <v>986.54</v>
      </c>
      <c r="H37" s="6">
        <v>1049</v>
      </c>
      <c r="I37" s="6">
        <v>361248.45</v>
      </c>
      <c r="J37" s="2"/>
      <c r="K37" s="2"/>
      <c r="L37" s="2"/>
      <c r="M37" s="2"/>
      <c r="N37" s="2"/>
      <c r="O37" s="2"/>
      <c r="P37" s="2"/>
      <c r="Q37" s="2"/>
      <c r="R37" s="2"/>
      <c r="U37" s="25"/>
      <c r="V37" s="25"/>
      <c r="W37" s="25"/>
      <c r="X37" s="25"/>
      <c r="Y37" s="25"/>
    </row>
    <row r="38" spans="1:25" s="17" customFormat="1" ht="16.5" customHeight="1">
      <c r="A38" s="30">
        <v>20</v>
      </c>
      <c r="B38" s="23">
        <v>44562</v>
      </c>
      <c r="C38" s="22">
        <v>21</v>
      </c>
      <c r="D38" s="6">
        <v>361248.45</v>
      </c>
      <c r="E38" s="6">
        <v>2951.21</v>
      </c>
      <c r="F38" s="6">
        <v>1972.83</v>
      </c>
      <c r="G38" s="6">
        <v>978.38</v>
      </c>
      <c r="H38" s="6">
        <v>1049</v>
      </c>
      <c r="I38" s="6">
        <v>358226.62</v>
      </c>
      <c r="J38" s="2"/>
      <c r="K38" s="2"/>
      <c r="L38" s="2"/>
      <c r="M38" s="2"/>
      <c r="N38" s="2"/>
      <c r="O38" s="2"/>
      <c r="P38" s="2"/>
      <c r="Q38" s="2"/>
      <c r="R38" s="2"/>
      <c r="U38" s="25"/>
      <c r="V38" s="25"/>
      <c r="W38" s="25"/>
      <c r="X38" s="25"/>
      <c r="Y38" s="25"/>
    </row>
    <row r="39" spans="1:25" s="17" customFormat="1" ht="16.5" customHeight="1">
      <c r="A39" s="30">
        <v>21</v>
      </c>
      <c r="B39" s="23">
        <v>44593</v>
      </c>
      <c r="C39" s="22">
        <v>22</v>
      </c>
      <c r="D39" s="6">
        <v>358226.62</v>
      </c>
      <c r="E39" s="6">
        <v>2951.21</v>
      </c>
      <c r="F39" s="6">
        <v>1981.01</v>
      </c>
      <c r="G39" s="6">
        <v>970.2</v>
      </c>
      <c r="H39" s="6">
        <v>1049</v>
      </c>
      <c r="I39" s="6">
        <v>355196.61</v>
      </c>
      <c r="J39" s="2"/>
      <c r="K39" s="2"/>
      <c r="L39" s="2"/>
      <c r="M39" s="2"/>
      <c r="N39" s="2"/>
      <c r="O39" s="2"/>
      <c r="P39" s="2"/>
      <c r="Q39" s="2"/>
      <c r="R39" s="2"/>
      <c r="U39" s="25"/>
      <c r="V39" s="25"/>
      <c r="W39" s="25"/>
      <c r="X39" s="25"/>
      <c r="Y39" s="25"/>
    </row>
    <row r="40" spans="1:25" s="17" customFormat="1" ht="16.5" customHeight="1">
      <c r="A40" s="30">
        <v>22</v>
      </c>
      <c r="B40" s="23">
        <v>44621</v>
      </c>
      <c r="C40" s="22">
        <v>23</v>
      </c>
      <c r="D40" s="6">
        <v>355196.61</v>
      </c>
      <c r="E40" s="6">
        <v>2951.21</v>
      </c>
      <c r="F40" s="6">
        <v>1989.22</v>
      </c>
      <c r="G40" s="6">
        <v>961.99</v>
      </c>
      <c r="H40" s="6">
        <v>1049</v>
      </c>
      <c r="I40" s="6">
        <v>352158.39</v>
      </c>
      <c r="J40" s="2"/>
      <c r="K40" s="2"/>
      <c r="L40" s="2"/>
      <c r="M40" s="2"/>
      <c r="N40" s="2"/>
      <c r="O40" s="2"/>
      <c r="P40" s="2"/>
      <c r="Q40" s="2"/>
      <c r="R40" s="2"/>
      <c r="U40" s="25"/>
      <c r="V40" s="25"/>
      <c r="W40" s="25"/>
      <c r="X40" s="25"/>
      <c r="Y40" s="25"/>
    </row>
    <row r="41" spans="1:25" s="17" customFormat="1" ht="16.5" customHeight="1">
      <c r="A41" s="30">
        <v>23</v>
      </c>
      <c r="B41" s="23">
        <v>44652</v>
      </c>
      <c r="C41" s="22">
        <v>24</v>
      </c>
      <c r="D41" s="6">
        <v>352158.39</v>
      </c>
      <c r="E41" s="6">
        <v>2951.21</v>
      </c>
      <c r="F41" s="6">
        <v>1997.45</v>
      </c>
      <c r="G41" s="6">
        <v>953.76</v>
      </c>
      <c r="H41" s="6">
        <v>1049</v>
      </c>
      <c r="I41" s="6">
        <v>349111.94</v>
      </c>
      <c r="J41" s="2"/>
      <c r="K41" s="2"/>
      <c r="L41" s="2"/>
      <c r="M41" s="2"/>
      <c r="N41" s="2"/>
      <c r="O41" s="2"/>
      <c r="P41" s="2"/>
      <c r="Q41" s="2"/>
      <c r="R41" s="2"/>
      <c r="U41" s="25"/>
      <c r="V41" s="25"/>
      <c r="W41" s="25"/>
      <c r="X41" s="25"/>
      <c r="Y41" s="25"/>
    </row>
    <row r="42" spans="1:25" s="17" customFormat="1" ht="16.5" customHeight="1">
      <c r="A42" s="30">
        <v>24</v>
      </c>
      <c r="B42" s="23">
        <v>44682</v>
      </c>
      <c r="C42" s="22">
        <v>25</v>
      </c>
      <c r="D42" s="6">
        <v>349111.94</v>
      </c>
      <c r="E42" s="6">
        <v>2951.21</v>
      </c>
      <c r="F42" s="6">
        <v>2005.7</v>
      </c>
      <c r="G42" s="6">
        <v>945.51</v>
      </c>
      <c r="H42" s="6">
        <v>1049</v>
      </c>
      <c r="I42" s="6">
        <v>346057.24</v>
      </c>
      <c r="J42" s="2"/>
      <c r="K42" s="2"/>
      <c r="L42" s="2"/>
      <c r="M42" s="2"/>
      <c r="N42" s="2"/>
      <c r="O42" s="2"/>
      <c r="P42" s="2"/>
      <c r="Q42" s="2"/>
      <c r="R42" s="2"/>
      <c r="U42" s="25"/>
      <c r="V42" s="25"/>
      <c r="W42" s="25"/>
      <c r="X42" s="25"/>
      <c r="Y42" s="25"/>
    </row>
    <row r="43" spans="1:25" s="17" customFormat="1" ht="16.5" customHeight="1">
      <c r="A43" s="27">
        <v>25</v>
      </c>
      <c r="B43" s="23">
        <v>44713</v>
      </c>
      <c r="C43" s="22">
        <v>26</v>
      </c>
      <c r="D43" s="6">
        <v>346057.24</v>
      </c>
      <c r="E43" s="6">
        <v>2951.21</v>
      </c>
      <c r="F43" s="6">
        <v>2013.97</v>
      </c>
      <c r="G43" s="6">
        <v>937.24</v>
      </c>
      <c r="H43" s="6">
        <v>1049</v>
      </c>
      <c r="I43" s="6">
        <v>342994.27</v>
      </c>
      <c r="J43" s="2"/>
      <c r="K43" s="2"/>
      <c r="L43" s="2"/>
      <c r="M43" s="2"/>
      <c r="N43" s="2"/>
      <c r="O43" s="2"/>
      <c r="P43" s="2"/>
      <c r="Q43" s="2"/>
      <c r="R43" s="2"/>
      <c r="U43" s="25"/>
      <c r="V43" s="25"/>
      <c r="W43" s="25"/>
      <c r="X43" s="25"/>
      <c r="Y43" s="25"/>
    </row>
    <row r="44" spans="1:25" s="17" customFormat="1" ht="16.5" customHeight="1">
      <c r="A44" s="27">
        <v>26</v>
      </c>
      <c r="B44" s="23">
        <v>44743</v>
      </c>
      <c r="C44" s="22">
        <v>27</v>
      </c>
      <c r="D44" s="6">
        <v>342994.27</v>
      </c>
      <c r="E44" s="6">
        <v>2951.21</v>
      </c>
      <c r="F44" s="6">
        <v>2022.27</v>
      </c>
      <c r="G44" s="6">
        <v>928.94</v>
      </c>
      <c r="H44" s="6">
        <v>1049</v>
      </c>
      <c r="I44" s="6">
        <v>339923</v>
      </c>
      <c r="J44" s="2"/>
      <c r="K44" s="2"/>
      <c r="L44" s="2"/>
      <c r="M44" s="2"/>
      <c r="N44" s="2"/>
      <c r="O44" s="2"/>
      <c r="P44" s="2"/>
      <c r="Q44" s="2"/>
      <c r="R44" s="2"/>
      <c r="U44" s="25"/>
      <c r="V44" s="25"/>
      <c r="W44" s="25"/>
      <c r="X44" s="25"/>
      <c r="Y44" s="25"/>
    </row>
    <row r="45" spans="1:25" s="17" customFormat="1" ht="16.5" customHeight="1">
      <c r="A45" s="27">
        <v>27</v>
      </c>
      <c r="B45" s="23">
        <v>44774</v>
      </c>
      <c r="C45" s="22">
        <v>28</v>
      </c>
      <c r="D45" s="6">
        <v>339923</v>
      </c>
      <c r="E45" s="6">
        <v>2951.21</v>
      </c>
      <c r="F45" s="6">
        <v>2030.5900000000001</v>
      </c>
      <c r="G45" s="6">
        <v>920.62</v>
      </c>
      <c r="H45" s="6">
        <v>1049</v>
      </c>
      <c r="I45" s="6">
        <v>336843.41</v>
      </c>
      <c r="J45" s="2"/>
      <c r="K45" s="2"/>
      <c r="L45" s="2"/>
      <c r="M45" s="2"/>
      <c r="N45" s="2"/>
      <c r="O45" s="2"/>
      <c r="P45" s="2"/>
      <c r="Q45" s="2"/>
      <c r="R45" s="2"/>
      <c r="U45" s="25"/>
      <c r="V45" s="25"/>
      <c r="W45" s="25"/>
      <c r="X45" s="25"/>
      <c r="Y45" s="25"/>
    </row>
    <row r="46" spans="1:25" s="17" customFormat="1" ht="16.5" customHeight="1">
      <c r="A46" s="27">
        <v>28</v>
      </c>
      <c r="B46" s="23">
        <v>44805</v>
      </c>
      <c r="C46" s="22">
        <v>29</v>
      </c>
      <c r="D46" s="6">
        <v>336843.41</v>
      </c>
      <c r="E46" s="6">
        <v>2951.21</v>
      </c>
      <c r="F46" s="6">
        <v>2038.93</v>
      </c>
      <c r="G46" s="6">
        <v>912.28</v>
      </c>
      <c r="H46" s="6">
        <v>1049</v>
      </c>
      <c r="I46" s="6">
        <v>333755.48</v>
      </c>
      <c r="J46" s="2"/>
      <c r="K46" s="2"/>
      <c r="L46" s="2"/>
      <c r="M46" s="2"/>
      <c r="N46" s="2"/>
      <c r="O46" s="2"/>
      <c r="P46" s="2"/>
      <c r="Q46" s="2"/>
      <c r="R46" s="2"/>
      <c r="U46" s="25"/>
      <c r="V46" s="25"/>
      <c r="W46" s="25"/>
      <c r="X46" s="25"/>
      <c r="Y46" s="25"/>
    </row>
    <row r="47" spans="1:25" s="17" customFormat="1" ht="16.5" customHeight="1">
      <c r="A47" s="27">
        <v>29</v>
      </c>
      <c r="B47" s="23">
        <v>44835</v>
      </c>
      <c r="C47" s="22">
        <v>30</v>
      </c>
      <c r="D47" s="6">
        <v>333755.48</v>
      </c>
      <c r="E47" s="6">
        <v>2951.21</v>
      </c>
      <c r="F47" s="6">
        <v>2047.29</v>
      </c>
      <c r="G47" s="6">
        <v>903.92</v>
      </c>
      <c r="H47" s="6">
        <v>1049</v>
      </c>
      <c r="I47" s="6">
        <v>330659.19</v>
      </c>
      <c r="J47" s="2"/>
      <c r="K47" s="2"/>
      <c r="L47" s="2"/>
      <c r="M47" s="2"/>
      <c r="N47" s="2"/>
      <c r="O47" s="2"/>
      <c r="P47" s="2"/>
      <c r="Q47" s="2"/>
      <c r="R47" s="2"/>
      <c r="U47" s="25"/>
      <c r="V47" s="25"/>
      <c r="W47" s="25"/>
      <c r="X47" s="25"/>
      <c r="Y47" s="25"/>
    </row>
    <row r="48" spans="1:25" s="17" customFormat="1" ht="16.5" customHeight="1">
      <c r="A48" s="27">
        <v>30</v>
      </c>
      <c r="B48" s="23">
        <v>44866</v>
      </c>
      <c r="C48" s="22">
        <v>31</v>
      </c>
      <c r="D48" s="6">
        <v>330659.19</v>
      </c>
      <c r="E48" s="6">
        <v>2951.21</v>
      </c>
      <c r="F48" s="6">
        <v>2055.67</v>
      </c>
      <c r="G48" s="6">
        <v>895.54</v>
      </c>
      <c r="H48" s="6">
        <v>1049</v>
      </c>
      <c r="I48" s="6">
        <v>327554.52</v>
      </c>
      <c r="J48" s="2"/>
      <c r="K48" s="2"/>
      <c r="L48" s="2"/>
      <c r="M48" s="2"/>
      <c r="N48" s="2"/>
      <c r="O48" s="2"/>
      <c r="P48" s="2"/>
      <c r="Q48" s="2"/>
      <c r="R48" s="2"/>
      <c r="U48" s="25"/>
      <c r="V48" s="25"/>
      <c r="W48" s="25"/>
      <c r="X48" s="25"/>
      <c r="Y48" s="25"/>
    </row>
    <row r="49" spans="1:37" s="17" customFormat="1" ht="16.5" customHeight="1">
      <c r="A49" s="27">
        <v>31</v>
      </c>
      <c r="B49" s="23">
        <v>44896</v>
      </c>
      <c r="C49" s="22">
        <v>32</v>
      </c>
      <c r="D49" s="6">
        <v>327554.52</v>
      </c>
      <c r="E49" s="6">
        <v>2951.21</v>
      </c>
      <c r="F49" s="6">
        <v>2064.08</v>
      </c>
      <c r="G49" s="6">
        <v>887.13</v>
      </c>
      <c r="H49" s="6">
        <v>1049</v>
      </c>
      <c r="I49" s="6">
        <v>324441.44</v>
      </c>
      <c r="J49" s="2"/>
      <c r="K49" s="2"/>
      <c r="L49" s="2"/>
      <c r="M49" s="2"/>
      <c r="N49" s="2"/>
      <c r="O49" s="2"/>
      <c r="P49" s="2"/>
      <c r="Q49" s="2"/>
      <c r="R49" s="2"/>
      <c r="T49" s="2"/>
      <c r="U49" s="25"/>
      <c r="V49" s="25"/>
      <c r="W49" s="25"/>
      <c r="X49" s="25"/>
      <c r="Y49" s="25"/>
    </row>
    <row r="50" spans="1:37" ht="16.5" customHeight="1">
      <c r="A50" s="27">
        <v>32</v>
      </c>
      <c r="B50" s="23">
        <v>44927</v>
      </c>
      <c r="C50" s="22">
        <v>33</v>
      </c>
      <c r="D50" s="6">
        <v>324441.44</v>
      </c>
      <c r="E50" s="6">
        <v>2951.21</v>
      </c>
      <c r="F50" s="6">
        <v>2072.5100000000002</v>
      </c>
      <c r="G50" s="6">
        <v>878.7</v>
      </c>
      <c r="H50" s="6">
        <v>1049</v>
      </c>
      <c r="I50" s="6">
        <v>321319.93</v>
      </c>
      <c r="J50" s="2"/>
      <c r="K50" s="2"/>
      <c r="L50" s="2"/>
      <c r="M50" s="2"/>
      <c r="N50" s="2"/>
      <c r="U50" s="25"/>
      <c r="V50" s="25"/>
      <c r="W50" s="25"/>
      <c r="X50" s="25"/>
      <c r="Y50" s="25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</row>
    <row r="51" spans="1:37" ht="16.5" customHeight="1">
      <c r="A51" s="27">
        <v>33</v>
      </c>
      <c r="B51" s="23">
        <v>44958</v>
      </c>
      <c r="C51" s="22">
        <v>34</v>
      </c>
      <c r="D51" s="6">
        <v>321319.93</v>
      </c>
      <c r="E51" s="6">
        <v>2951.21</v>
      </c>
      <c r="F51" s="6">
        <v>2080.9700000000003</v>
      </c>
      <c r="G51" s="6">
        <v>870.24</v>
      </c>
      <c r="H51" s="6">
        <v>1049</v>
      </c>
      <c r="I51" s="6">
        <v>318189.96000000002</v>
      </c>
      <c r="J51" s="2"/>
      <c r="K51" s="2"/>
      <c r="L51" s="2"/>
      <c r="M51" s="2"/>
      <c r="N51" s="2"/>
      <c r="U51" s="25"/>
      <c r="V51" s="25"/>
      <c r="W51" s="25"/>
      <c r="X51" s="25"/>
      <c r="Y51" s="25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</row>
    <row r="52" spans="1:37" ht="16.5" customHeight="1">
      <c r="A52" s="27">
        <v>34</v>
      </c>
      <c r="B52" s="23">
        <v>44986</v>
      </c>
      <c r="C52" s="22">
        <v>35</v>
      </c>
      <c r="D52" s="6">
        <v>318189.96000000002</v>
      </c>
      <c r="E52" s="6">
        <v>2951.21</v>
      </c>
      <c r="F52" s="6">
        <v>2089.4499999999998</v>
      </c>
      <c r="G52" s="6">
        <v>861.76</v>
      </c>
      <c r="H52" s="6">
        <v>1049</v>
      </c>
      <c r="I52" s="6">
        <v>315051.51</v>
      </c>
      <c r="J52" s="2"/>
      <c r="K52" s="2"/>
      <c r="L52" s="2"/>
      <c r="M52" s="2"/>
      <c r="N52" s="2"/>
      <c r="U52" s="25"/>
      <c r="V52" s="25"/>
      <c r="W52" s="25"/>
      <c r="X52" s="25"/>
      <c r="Y52" s="25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</row>
    <row r="53" spans="1:37" ht="16.5" customHeight="1">
      <c r="A53" s="27">
        <v>35</v>
      </c>
      <c r="B53" s="23">
        <v>45017</v>
      </c>
      <c r="C53" s="22">
        <v>36</v>
      </c>
      <c r="D53" s="6">
        <v>315051.51</v>
      </c>
      <c r="E53" s="6">
        <v>2951.21</v>
      </c>
      <c r="F53" s="6">
        <v>2097.9499999999998</v>
      </c>
      <c r="G53" s="6">
        <v>853.26</v>
      </c>
      <c r="H53" s="6">
        <v>1049</v>
      </c>
      <c r="I53" s="6">
        <v>311904.56</v>
      </c>
      <c r="J53" s="2"/>
      <c r="K53" s="2"/>
      <c r="L53" s="2"/>
      <c r="M53" s="2"/>
      <c r="N53" s="2"/>
      <c r="U53" s="25"/>
      <c r="V53" s="25"/>
      <c r="W53" s="25"/>
      <c r="X53" s="25"/>
      <c r="Y53" s="25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</row>
    <row r="54" spans="1:37" ht="16.5" customHeight="1">
      <c r="A54" s="27">
        <v>36</v>
      </c>
      <c r="B54" s="23">
        <v>45047</v>
      </c>
      <c r="C54" s="22">
        <v>37</v>
      </c>
      <c r="D54" s="6">
        <v>311904.56</v>
      </c>
      <c r="E54" s="6">
        <v>2951.21</v>
      </c>
      <c r="F54" s="6">
        <v>2106.4700000000003</v>
      </c>
      <c r="G54" s="6">
        <v>844.74</v>
      </c>
      <c r="H54" s="6">
        <v>1049</v>
      </c>
      <c r="I54" s="6">
        <v>308749.09000000003</v>
      </c>
      <c r="J54" s="2"/>
      <c r="K54" s="2"/>
      <c r="L54" s="2"/>
      <c r="M54" s="2"/>
      <c r="N54" s="2"/>
      <c r="U54" s="25"/>
      <c r="V54" s="25"/>
      <c r="W54" s="25"/>
      <c r="X54" s="25"/>
      <c r="Y54" s="25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</row>
    <row r="55" spans="1:37" ht="16.5" customHeight="1">
      <c r="A55" s="27">
        <v>37</v>
      </c>
      <c r="B55" s="23">
        <v>45078</v>
      </c>
      <c r="C55" s="22">
        <v>38</v>
      </c>
      <c r="D55" s="6">
        <v>308749.09000000003</v>
      </c>
      <c r="E55" s="6">
        <v>2951.21</v>
      </c>
      <c r="F55" s="6">
        <v>2115.0100000000002</v>
      </c>
      <c r="G55" s="6">
        <v>836.2</v>
      </c>
      <c r="H55" s="6">
        <v>1049</v>
      </c>
      <c r="I55" s="6">
        <v>305585.08</v>
      </c>
      <c r="J55" s="2"/>
      <c r="K55" s="2"/>
      <c r="L55" s="2"/>
      <c r="M55" s="2"/>
      <c r="N55" s="2"/>
      <c r="U55" s="25"/>
      <c r="V55" s="25"/>
      <c r="W55" s="25"/>
      <c r="X55" s="25"/>
      <c r="Y55" s="25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</row>
    <row r="56" spans="1:37" ht="16.5" customHeight="1">
      <c r="A56" s="27">
        <v>38</v>
      </c>
      <c r="B56" s="23">
        <v>45108</v>
      </c>
      <c r="C56" s="22">
        <v>39</v>
      </c>
      <c r="D56" s="6">
        <v>305585.08</v>
      </c>
      <c r="E56" s="6">
        <v>2951.21</v>
      </c>
      <c r="F56" s="6">
        <v>2123.58</v>
      </c>
      <c r="G56" s="6">
        <v>827.63</v>
      </c>
      <c r="H56" s="6">
        <v>1049</v>
      </c>
      <c r="I56" s="6">
        <v>302412.5</v>
      </c>
      <c r="J56" s="2"/>
      <c r="K56" s="2"/>
      <c r="L56" s="2"/>
      <c r="M56" s="2"/>
      <c r="N56" s="2"/>
      <c r="U56" s="25"/>
      <c r="V56" s="25"/>
      <c r="W56" s="25"/>
      <c r="X56" s="25"/>
      <c r="Y56" s="25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</row>
    <row r="57" spans="1:37" ht="16.5" customHeight="1">
      <c r="A57" s="5">
        <v>39</v>
      </c>
      <c r="B57" s="23">
        <v>45139</v>
      </c>
      <c r="C57" s="22">
        <v>40</v>
      </c>
      <c r="D57" s="6">
        <v>302412.5</v>
      </c>
      <c r="E57" s="6">
        <v>2951.21</v>
      </c>
      <c r="F57" s="6">
        <v>2132.1800000000003</v>
      </c>
      <c r="G57" s="6">
        <v>819.03</v>
      </c>
      <c r="H57" s="6">
        <v>1049</v>
      </c>
      <c r="I57" s="6">
        <v>299231.32</v>
      </c>
      <c r="J57" s="2"/>
      <c r="K57" s="2"/>
      <c r="L57" s="2"/>
      <c r="M57" s="2"/>
      <c r="N57" s="2"/>
      <c r="U57" s="25"/>
      <c r="V57" s="25"/>
      <c r="W57" s="25"/>
      <c r="X57" s="25"/>
      <c r="Y57" s="25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</row>
    <row r="58" spans="1:37" ht="16.5" customHeight="1">
      <c r="A58" s="5">
        <v>40</v>
      </c>
      <c r="B58" s="23">
        <v>45170</v>
      </c>
      <c r="C58" s="22">
        <v>41</v>
      </c>
      <c r="D58" s="6">
        <v>299231.32</v>
      </c>
      <c r="E58" s="6">
        <v>2951.21</v>
      </c>
      <c r="F58" s="6">
        <v>2140.79</v>
      </c>
      <c r="G58" s="6">
        <v>810.42</v>
      </c>
      <c r="H58" s="6">
        <v>1049</v>
      </c>
      <c r="I58" s="6">
        <v>296041.53000000003</v>
      </c>
      <c r="J58" s="2"/>
      <c r="K58" s="2"/>
      <c r="L58" s="2"/>
      <c r="M58" s="2"/>
      <c r="N58" s="2"/>
      <c r="U58" s="25"/>
      <c r="V58" s="25"/>
      <c r="W58" s="25"/>
      <c r="X58" s="25"/>
      <c r="Y58" s="25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</row>
    <row r="59" spans="1:37" ht="16.5" customHeight="1">
      <c r="A59" s="5">
        <v>41</v>
      </c>
      <c r="B59" s="23">
        <v>45200</v>
      </c>
      <c r="C59" s="22">
        <v>42</v>
      </c>
      <c r="D59" s="6">
        <v>296041.53000000003</v>
      </c>
      <c r="E59" s="6">
        <v>2951.21</v>
      </c>
      <c r="F59" s="6">
        <v>2149.4300000000003</v>
      </c>
      <c r="G59" s="6">
        <v>801.78</v>
      </c>
      <c r="H59" s="6">
        <v>1049</v>
      </c>
      <c r="I59" s="6">
        <v>292843.10000000003</v>
      </c>
      <c r="J59" s="2"/>
      <c r="K59" s="2"/>
      <c r="L59" s="2"/>
      <c r="M59" s="2"/>
      <c r="N59" s="2"/>
      <c r="U59" s="25"/>
      <c r="V59" s="25"/>
      <c r="W59" s="25"/>
      <c r="X59" s="25"/>
      <c r="Y59" s="25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</row>
    <row r="60" spans="1:37" ht="16.5" customHeight="1">
      <c r="A60" s="5">
        <v>42</v>
      </c>
      <c r="B60" s="23">
        <v>45231</v>
      </c>
      <c r="C60" s="22">
        <v>43</v>
      </c>
      <c r="D60" s="6">
        <v>292843.10000000003</v>
      </c>
      <c r="E60" s="6">
        <v>2951.21</v>
      </c>
      <c r="F60" s="6">
        <v>2158.09</v>
      </c>
      <c r="G60" s="6">
        <v>793.12</v>
      </c>
      <c r="H60" s="6">
        <v>1049</v>
      </c>
      <c r="I60" s="6">
        <v>289636.01</v>
      </c>
      <c r="J60" s="2"/>
      <c r="K60" s="2"/>
      <c r="L60" s="2"/>
      <c r="M60" s="2"/>
      <c r="N60" s="2"/>
      <c r="U60" s="25"/>
      <c r="V60" s="25"/>
      <c r="W60" s="25"/>
      <c r="X60" s="25"/>
      <c r="Y60" s="25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</row>
    <row r="61" spans="1:37" ht="16.5" customHeight="1">
      <c r="A61" s="5">
        <v>43</v>
      </c>
      <c r="B61" s="23">
        <v>45261</v>
      </c>
      <c r="C61" s="22">
        <v>44</v>
      </c>
      <c r="D61" s="6">
        <v>289636.01</v>
      </c>
      <c r="E61" s="6">
        <v>2951.21</v>
      </c>
      <c r="F61" s="6">
        <v>2166.7800000000002</v>
      </c>
      <c r="G61" s="6">
        <v>784.43</v>
      </c>
      <c r="H61" s="6">
        <v>1049</v>
      </c>
      <c r="I61" s="6">
        <v>286420.23</v>
      </c>
      <c r="J61" s="2"/>
      <c r="K61" s="2"/>
      <c r="L61" s="2"/>
      <c r="M61" s="2"/>
      <c r="N61" s="2"/>
      <c r="U61" s="25"/>
      <c r="V61" s="25"/>
      <c r="W61" s="25"/>
      <c r="X61" s="25"/>
      <c r="Y61" s="25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</row>
    <row r="62" spans="1:37" ht="16.5" customHeight="1">
      <c r="A62" s="5">
        <v>44</v>
      </c>
      <c r="B62" s="23">
        <v>45292</v>
      </c>
      <c r="C62" s="22">
        <v>45</v>
      </c>
      <c r="D62" s="6">
        <v>286420.23</v>
      </c>
      <c r="E62" s="6">
        <v>2951.21</v>
      </c>
      <c r="F62" s="6">
        <v>2175.4899999999998</v>
      </c>
      <c r="G62" s="6">
        <v>775.72</v>
      </c>
      <c r="H62" s="6">
        <v>1049</v>
      </c>
      <c r="I62" s="6">
        <v>283195.74</v>
      </c>
      <c r="J62" s="2"/>
      <c r="K62" s="2"/>
      <c r="L62" s="2"/>
      <c r="M62" s="2"/>
      <c r="N62" s="2"/>
      <c r="X62" s="25"/>
      <c r="Y62" s="25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</row>
    <row r="63" spans="1:37" ht="16.5" customHeight="1">
      <c r="A63" s="5">
        <v>45</v>
      </c>
      <c r="B63" s="23">
        <v>45323</v>
      </c>
      <c r="C63" s="22">
        <v>46</v>
      </c>
      <c r="D63" s="6">
        <v>283195.74</v>
      </c>
      <c r="E63" s="6">
        <v>2951.21</v>
      </c>
      <c r="F63" s="6">
        <v>2184.2200000000003</v>
      </c>
      <c r="G63" s="6">
        <v>766.99</v>
      </c>
      <c r="H63" s="6">
        <v>1049</v>
      </c>
      <c r="I63" s="6">
        <v>279962.52</v>
      </c>
      <c r="J63" s="2"/>
      <c r="K63" s="2"/>
      <c r="L63" s="2"/>
      <c r="M63" s="2"/>
      <c r="N63" s="2"/>
    </row>
    <row r="64" spans="1:37" ht="16.5" customHeight="1">
      <c r="A64" s="5">
        <v>46</v>
      </c>
      <c r="B64" s="23">
        <v>45352</v>
      </c>
      <c r="C64" s="22">
        <v>47</v>
      </c>
      <c r="D64" s="6">
        <v>279962.52</v>
      </c>
      <c r="E64" s="6">
        <v>2951.21</v>
      </c>
      <c r="F64" s="6">
        <v>2192.98</v>
      </c>
      <c r="G64" s="6">
        <v>758.23</v>
      </c>
      <c r="H64" s="6">
        <v>1049</v>
      </c>
      <c r="I64" s="6">
        <v>276720.54000000004</v>
      </c>
      <c r="J64" s="2"/>
      <c r="K64" s="2"/>
      <c r="L64" s="2"/>
      <c r="M64" s="2"/>
      <c r="N64" s="2"/>
    </row>
    <row r="65" spans="1:14" ht="16.5" customHeight="1">
      <c r="A65" s="5">
        <v>47</v>
      </c>
      <c r="B65" s="23">
        <v>45383</v>
      </c>
      <c r="C65" s="22">
        <v>48</v>
      </c>
      <c r="D65" s="6">
        <v>276720.54000000004</v>
      </c>
      <c r="E65" s="6">
        <v>2951.21</v>
      </c>
      <c r="F65" s="6">
        <v>2201.7600000000002</v>
      </c>
      <c r="G65" s="6">
        <v>749.45</v>
      </c>
      <c r="H65" s="6">
        <v>1049</v>
      </c>
      <c r="I65" s="6">
        <v>273469.78000000003</v>
      </c>
      <c r="J65" s="2"/>
      <c r="K65" s="2"/>
      <c r="L65" s="2"/>
      <c r="M65" s="2"/>
      <c r="N65" s="2"/>
    </row>
    <row r="66" spans="1:14" ht="16.5" customHeight="1">
      <c r="A66" s="5">
        <v>48</v>
      </c>
      <c r="B66" s="23">
        <v>45413</v>
      </c>
      <c r="C66" s="22">
        <v>49</v>
      </c>
      <c r="D66" s="6">
        <v>273469.78000000003</v>
      </c>
      <c r="E66" s="6">
        <v>2951.21</v>
      </c>
      <c r="F66" s="6">
        <v>2210.56</v>
      </c>
      <c r="G66" s="6">
        <v>740.65</v>
      </c>
      <c r="H66" s="6">
        <v>1049</v>
      </c>
      <c r="I66" s="6">
        <v>270210.22000000003</v>
      </c>
      <c r="J66" s="2"/>
      <c r="K66" s="2"/>
      <c r="L66" s="2"/>
      <c r="M66" s="2"/>
      <c r="N66" s="2"/>
    </row>
    <row r="67" spans="1:14" ht="16.5" customHeight="1">
      <c r="A67" s="5">
        <v>49</v>
      </c>
      <c r="B67" s="23">
        <v>45444</v>
      </c>
      <c r="C67" s="22">
        <v>50</v>
      </c>
      <c r="D67" s="6">
        <v>270210.22000000003</v>
      </c>
      <c r="E67" s="6">
        <v>2951.21</v>
      </c>
      <c r="F67" s="6">
        <v>2219.39</v>
      </c>
      <c r="G67" s="6">
        <v>731.82</v>
      </c>
      <c r="H67" s="6">
        <v>1049</v>
      </c>
      <c r="I67" s="6">
        <v>266941.83</v>
      </c>
      <c r="J67" s="2"/>
      <c r="K67" s="2"/>
      <c r="L67" s="2"/>
      <c r="M67" s="2"/>
      <c r="N67" s="2"/>
    </row>
    <row r="68" spans="1:14" ht="16.5" customHeight="1">
      <c r="A68" s="5">
        <v>50</v>
      </c>
      <c r="B68" s="23">
        <v>45474</v>
      </c>
      <c r="C68" s="22">
        <v>51</v>
      </c>
      <c r="D68" s="6">
        <v>266941.83</v>
      </c>
      <c r="E68" s="6">
        <v>2951.21</v>
      </c>
      <c r="F68" s="6">
        <v>2228.2399999999998</v>
      </c>
      <c r="G68" s="6">
        <v>722.97</v>
      </c>
      <c r="H68" s="6">
        <v>1049</v>
      </c>
      <c r="I68" s="6">
        <v>263664.59000000003</v>
      </c>
      <c r="J68" s="2"/>
      <c r="K68" s="2"/>
      <c r="L68" s="2"/>
      <c r="M68" s="2"/>
      <c r="N68" s="2"/>
    </row>
    <row r="69" spans="1:14" ht="16.5" customHeight="1">
      <c r="A69" s="5">
        <v>51</v>
      </c>
      <c r="B69" s="23">
        <v>45505</v>
      </c>
      <c r="C69" s="22">
        <v>52</v>
      </c>
      <c r="D69" s="6">
        <v>263664.59000000003</v>
      </c>
      <c r="E69" s="6">
        <v>2951.21</v>
      </c>
      <c r="F69" s="6">
        <v>2237.12</v>
      </c>
      <c r="G69" s="6">
        <v>714.09</v>
      </c>
      <c r="H69" s="6">
        <v>1049</v>
      </c>
      <c r="I69" s="6">
        <v>260378.47000000003</v>
      </c>
      <c r="J69" s="2"/>
      <c r="K69" s="2"/>
      <c r="L69" s="2"/>
      <c r="M69" s="2"/>
      <c r="N69" s="2"/>
    </row>
    <row r="70" spans="1:14" ht="16.5" customHeight="1">
      <c r="A70" s="5">
        <v>52</v>
      </c>
      <c r="B70" s="23">
        <v>45536</v>
      </c>
      <c r="C70" s="22">
        <v>53</v>
      </c>
      <c r="D70" s="6">
        <v>260378.47000000003</v>
      </c>
      <c r="E70" s="6">
        <v>2951.21</v>
      </c>
      <c r="F70" s="6">
        <v>2246.02</v>
      </c>
      <c r="G70" s="6">
        <v>705.19</v>
      </c>
      <c r="H70" s="6">
        <v>1049</v>
      </c>
      <c r="I70" s="6">
        <v>257083.45000000004</v>
      </c>
      <c r="J70" s="2"/>
      <c r="K70" s="2"/>
      <c r="L70" s="2"/>
      <c r="M70" s="2"/>
      <c r="N70" s="2"/>
    </row>
    <row r="71" spans="1:14" ht="16.5" customHeight="1">
      <c r="A71" s="5">
        <v>53</v>
      </c>
      <c r="B71" s="23">
        <v>45566</v>
      </c>
      <c r="C71" s="22">
        <v>54</v>
      </c>
      <c r="D71" s="6">
        <v>257083.45000000004</v>
      </c>
      <c r="E71" s="6">
        <v>2951.21</v>
      </c>
      <c r="F71" s="6">
        <v>2254.94</v>
      </c>
      <c r="G71" s="6">
        <v>696.27</v>
      </c>
      <c r="H71" s="6">
        <v>1049</v>
      </c>
      <c r="I71" s="6">
        <v>253779.51000000004</v>
      </c>
      <c r="J71" s="2"/>
      <c r="K71" s="2"/>
      <c r="L71" s="2"/>
      <c r="M71" s="2"/>
      <c r="N71" s="2"/>
    </row>
    <row r="72" spans="1:14" ht="16.5" customHeight="1">
      <c r="A72" s="5">
        <v>54</v>
      </c>
      <c r="B72" s="23">
        <v>45597</v>
      </c>
      <c r="C72" s="22">
        <v>55</v>
      </c>
      <c r="D72" s="6">
        <v>253779.51000000004</v>
      </c>
      <c r="E72" s="6">
        <v>2951.21</v>
      </c>
      <c r="F72" s="6">
        <v>2263.89</v>
      </c>
      <c r="G72" s="6">
        <v>687.32</v>
      </c>
      <c r="H72" s="6">
        <v>1049</v>
      </c>
      <c r="I72" s="6">
        <v>250466.62000000002</v>
      </c>
      <c r="J72" s="2"/>
      <c r="K72" s="2"/>
      <c r="L72" s="2"/>
      <c r="M72" s="2"/>
      <c r="N72" s="2"/>
    </row>
    <row r="73" spans="1:14" ht="16.5" customHeight="1">
      <c r="A73" s="5">
        <v>55</v>
      </c>
      <c r="B73" s="23">
        <v>45627</v>
      </c>
      <c r="C73" s="22">
        <v>56</v>
      </c>
      <c r="D73" s="6">
        <v>250466.62000000002</v>
      </c>
      <c r="E73" s="6">
        <v>2951.21</v>
      </c>
      <c r="F73" s="6">
        <v>2272.86</v>
      </c>
      <c r="G73" s="6">
        <v>678.35</v>
      </c>
      <c r="H73" s="6">
        <v>1049</v>
      </c>
      <c r="I73" s="6">
        <v>247144.76000000004</v>
      </c>
      <c r="J73" s="2"/>
      <c r="K73" s="2"/>
      <c r="L73" s="2"/>
      <c r="M73" s="2"/>
      <c r="N73" s="2"/>
    </row>
    <row r="74" spans="1:14" ht="16.5" customHeight="1">
      <c r="A74" s="5">
        <v>56</v>
      </c>
      <c r="B74" s="23">
        <v>45658</v>
      </c>
      <c r="C74" s="22">
        <v>57</v>
      </c>
      <c r="D74" s="6">
        <v>247144.76000000004</v>
      </c>
      <c r="E74" s="6">
        <v>2951.21</v>
      </c>
      <c r="F74" s="6">
        <v>2281.86</v>
      </c>
      <c r="G74" s="6">
        <v>669.35</v>
      </c>
      <c r="H74" s="6">
        <v>1049</v>
      </c>
      <c r="I74" s="6">
        <v>243813.90000000005</v>
      </c>
      <c r="J74" s="2"/>
      <c r="K74" s="2"/>
      <c r="L74" s="2"/>
      <c r="M74" s="2"/>
      <c r="N74" s="2"/>
    </row>
    <row r="75" spans="1:14" ht="16.5" customHeight="1">
      <c r="A75" s="5">
        <v>57</v>
      </c>
      <c r="B75" s="23">
        <v>45689</v>
      </c>
      <c r="C75" s="22">
        <v>58</v>
      </c>
      <c r="D75" s="6">
        <v>243813.90000000005</v>
      </c>
      <c r="E75" s="6">
        <v>2951.21</v>
      </c>
      <c r="F75" s="6">
        <v>2290.88</v>
      </c>
      <c r="G75" s="6">
        <v>660.33</v>
      </c>
      <c r="H75" s="6">
        <v>1049</v>
      </c>
      <c r="I75" s="6">
        <v>240474.02000000005</v>
      </c>
      <c r="J75" s="2"/>
      <c r="K75" s="2"/>
      <c r="L75" s="2"/>
      <c r="M75" s="2"/>
      <c r="N75" s="2"/>
    </row>
    <row r="76" spans="1:14" ht="16.5" customHeight="1">
      <c r="A76" s="5">
        <v>58</v>
      </c>
      <c r="B76" s="23">
        <v>45717</v>
      </c>
      <c r="C76" s="22">
        <v>59</v>
      </c>
      <c r="D76" s="6">
        <v>240474.02000000005</v>
      </c>
      <c r="E76" s="6">
        <v>2951.21</v>
      </c>
      <c r="F76" s="6">
        <v>2299.9300000000003</v>
      </c>
      <c r="G76" s="6">
        <v>651.28</v>
      </c>
      <c r="H76" s="6">
        <v>1049</v>
      </c>
      <c r="I76" s="6">
        <v>237125.09000000005</v>
      </c>
      <c r="J76" s="2"/>
      <c r="K76" s="2"/>
      <c r="L76" s="2"/>
      <c r="M76" s="2"/>
      <c r="N76" s="2"/>
    </row>
    <row r="77" spans="1:14" ht="16.5" customHeight="1">
      <c r="A77" s="5">
        <v>59</v>
      </c>
      <c r="B77" s="23">
        <v>45748</v>
      </c>
      <c r="C77" s="22">
        <v>60</v>
      </c>
      <c r="D77" s="6">
        <v>237125.09000000005</v>
      </c>
      <c r="E77" s="6">
        <v>2951.21</v>
      </c>
      <c r="F77" s="6">
        <v>2309</v>
      </c>
      <c r="G77" s="6">
        <v>642.21</v>
      </c>
      <c r="H77" s="6">
        <v>1049</v>
      </c>
      <c r="I77" s="6">
        <v>233767.09000000005</v>
      </c>
      <c r="J77" s="2"/>
      <c r="K77" s="2"/>
      <c r="L77" s="2"/>
      <c r="M77" s="2"/>
      <c r="N77" s="2"/>
    </row>
    <row r="78" spans="1:14" ht="16.5" customHeight="1">
      <c r="A78" s="5">
        <v>60</v>
      </c>
      <c r="B78" s="23">
        <v>45778</v>
      </c>
      <c r="C78" s="22">
        <v>61</v>
      </c>
      <c r="D78" s="6">
        <v>233767.09000000005</v>
      </c>
      <c r="E78" s="6">
        <v>2951.21</v>
      </c>
      <c r="F78" s="6">
        <v>2318.09</v>
      </c>
      <c r="G78" s="6">
        <v>633.12</v>
      </c>
      <c r="H78" s="6">
        <v>1049</v>
      </c>
      <c r="I78" s="6">
        <v>230400.00000000006</v>
      </c>
      <c r="J78" s="2"/>
      <c r="K78" s="2"/>
      <c r="L78" s="2"/>
      <c r="M78" s="2"/>
      <c r="N78" s="2"/>
    </row>
    <row r="79" spans="1:14" ht="16.5" customHeight="1">
      <c r="A79" s="5">
        <v>61</v>
      </c>
      <c r="B79" s="23">
        <v>45809</v>
      </c>
      <c r="C79" s="22">
        <v>62</v>
      </c>
      <c r="D79" s="6">
        <v>230400.00000000006</v>
      </c>
      <c r="E79" s="6">
        <v>2951.21</v>
      </c>
      <c r="F79" s="6">
        <v>2327.21</v>
      </c>
      <c r="G79" s="6">
        <v>624</v>
      </c>
      <c r="H79" s="6">
        <v>1049</v>
      </c>
      <c r="I79" s="6">
        <v>227023.79000000007</v>
      </c>
      <c r="J79" s="2"/>
      <c r="K79" s="2"/>
      <c r="L79" s="2"/>
      <c r="M79" s="2"/>
      <c r="N79" s="2"/>
    </row>
    <row r="80" spans="1:14" ht="16.5" customHeight="1">
      <c r="A80" s="5">
        <v>62</v>
      </c>
      <c r="B80" s="23">
        <v>45839</v>
      </c>
      <c r="C80" s="22">
        <v>63</v>
      </c>
      <c r="D80" s="6">
        <v>227023.79000000007</v>
      </c>
      <c r="E80" s="6">
        <v>2951.21</v>
      </c>
      <c r="F80" s="6">
        <v>2336.35</v>
      </c>
      <c r="G80" s="6">
        <v>614.86</v>
      </c>
      <c r="H80" s="6">
        <v>1049</v>
      </c>
      <c r="I80" s="6">
        <v>223638.44000000006</v>
      </c>
      <c r="J80" s="2"/>
      <c r="K80" s="2"/>
      <c r="L80" s="2"/>
      <c r="M80" s="2"/>
      <c r="N80" s="2"/>
    </row>
    <row r="81" spans="1:14" ht="16.5" customHeight="1">
      <c r="A81" s="5">
        <v>63</v>
      </c>
      <c r="B81" s="23">
        <v>45870</v>
      </c>
      <c r="C81" s="22">
        <v>64</v>
      </c>
      <c r="D81" s="6">
        <v>223638.44000000006</v>
      </c>
      <c r="E81" s="6">
        <v>2951.21</v>
      </c>
      <c r="F81" s="6">
        <v>2345.52</v>
      </c>
      <c r="G81" s="6">
        <v>605.69000000000005</v>
      </c>
      <c r="H81" s="6">
        <v>1049</v>
      </c>
      <c r="I81" s="6">
        <v>220243.92000000007</v>
      </c>
      <c r="J81" s="2"/>
      <c r="K81" s="2"/>
      <c r="L81" s="2"/>
      <c r="M81" s="2"/>
      <c r="N81" s="2"/>
    </row>
    <row r="82" spans="1:14" ht="16.5" customHeight="1">
      <c r="A82" s="5">
        <v>64</v>
      </c>
      <c r="B82" s="23">
        <v>45901</v>
      </c>
      <c r="C82" s="22">
        <v>65</v>
      </c>
      <c r="D82" s="6">
        <v>220243.92000000007</v>
      </c>
      <c r="E82" s="6">
        <v>2951.21</v>
      </c>
      <c r="F82" s="6">
        <v>2354.7200000000003</v>
      </c>
      <c r="G82" s="6">
        <v>596.49</v>
      </c>
      <c r="H82" s="6">
        <v>1049</v>
      </c>
      <c r="I82" s="6">
        <v>216840.20000000007</v>
      </c>
      <c r="J82" s="2"/>
      <c r="K82" s="2"/>
      <c r="L82" s="2"/>
      <c r="M82" s="2"/>
      <c r="N82" s="2"/>
    </row>
    <row r="83" spans="1:14" ht="16.5" customHeight="1">
      <c r="A83" s="5">
        <v>65</v>
      </c>
      <c r="B83" s="23">
        <v>45931</v>
      </c>
      <c r="C83" s="22">
        <v>66</v>
      </c>
      <c r="D83" s="6">
        <v>216840.20000000007</v>
      </c>
      <c r="E83" s="6">
        <v>2951.21</v>
      </c>
      <c r="F83" s="6">
        <v>2363.9300000000003</v>
      </c>
      <c r="G83" s="6">
        <v>587.28</v>
      </c>
      <c r="H83" s="6">
        <v>1049</v>
      </c>
      <c r="I83" s="6">
        <v>213427.27000000008</v>
      </c>
      <c r="J83" s="2"/>
      <c r="K83" s="2"/>
      <c r="L83" s="2"/>
      <c r="M83" s="2"/>
      <c r="N83" s="2"/>
    </row>
    <row r="84" spans="1:14" ht="16.5" customHeight="1">
      <c r="A84" s="5">
        <v>66</v>
      </c>
      <c r="B84" s="23">
        <v>45962</v>
      </c>
      <c r="C84" s="22">
        <v>67</v>
      </c>
      <c r="D84" s="6">
        <v>213427.27000000008</v>
      </c>
      <c r="E84" s="6">
        <v>2951.21</v>
      </c>
      <c r="F84" s="6">
        <v>2373.1800000000003</v>
      </c>
      <c r="G84" s="6">
        <v>578.03</v>
      </c>
      <c r="H84" s="6">
        <v>1049</v>
      </c>
      <c r="I84" s="6">
        <v>210005.09000000008</v>
      </c>
      <c r="J84" s="2"/>
      <c r="K84" s="2"/>
      <c r="L84" s="2"/>
      <c r="M84" s="2"/>
      <c r="N84" s="2"/>
    </row>
    <row r="85" spans="1:14" ht="16.5" customHeight="1">
      <c r="A85" s="5">
        <v>67</v>
      </c>
      <c r="B85" s="23">
        <v>45992</v>
      </c>
      <c r="C85" s="22">
        <v>68</v>
      </c>
      <c r="D85" s="6">
        <v>210005.09000000008</v>
      </c>
      <c r="E85" s="6">
        <v>2951.21</v>
      </c>
      <c r="F85" s="6">
        <v>2382.4499999999998</v>
      </c>
      <c r="G85" s="6">
        <v>568.76</v>
      </c>
      <c r="H85" s="6">
        <v>1049</v>
      </c>
      <c r="I85" s="6">
        <v>206573.64000000007</v>
      </c>
      <c r="J85" s="2"/>
      <c r="K85" s="2"/>
      <c r="L85" s="2"/>
      <c r="M85" s="2"/>
      <c r="N85" s="2"/>
    </row>
    <row r="86" spans="1:14" ht="16.5" customHeight="1">
      <c r="A86" s="5">
        <v>68</v>
      </c>
      <c r="B86" s="23">
        <v>46023</v>
      </c>
      <c r="C86" s="22">
        <v>69</v>
      </c>
      <c r="D86" s="6">
        <v>206573.64000000007</v>
      </c>
      <c r="E86" s="6">
        <v>2951.21</v>
      </c>
      <c r="F86" s="6">
        <v>2391.7399999999998</v>
      </c>
      <c r="G86" s="6">
        <v>559.47</v>
      </c>
      <c r="H86" s="6">
        <v>1049</v>
      </c>
      <c r="I86" s="6">
        <v>203132.90000000008</v>
      </c>
      <c r="J86" s="2"/>
      <c r="K86" s="2"/>
      <c r="L86" s="2"/>
      <c r="M86" s="2"/>
      <c r="N86" s="2"/>
    </row>
    <row r="87" spans="1:14" ht="16.5" customHeight="1">
      <c r="A87" s="5">
        <v>69</v>
      </c>
      <c r="B87" s="23">
        <v>46054</v>
      </c>
      <c r="C87" s="22">
        <v>70</v>
      </c>
      <c r="D87" s="6">
        <v>203132.90000000008</v>
      </c>
      <c r="E87" s="6">
        <v>2951.21</v>
      </c>
      <c r="F87" s="6">
        <v>2401.06</v>
      </c>
      <c r="G87" s="6">
        <v>550.15</v>
      </c>
      <c r="H87" s="6">
        <v>1049</v>
      </c>
      <c r="I87" s="6">
        <v>199682.84000000008</v>
      </c>
      <c r="J87" s="2"/>
      <c r="K87" s="2"/>
      <c r="L87" s="2"/>
      <c r="M87" s="2"/>
      <c r="N87" s="2"/>
    </row>
    <row r="88" spans="1:14" ht="16.5" customHeight="1">
      <c r="A88" s="5">
        <v>70</v>
      </c>
      <c r="B88" s="23">
        <v>46082</v>
      </c>
      <c r="C88" s="22">
        <v>71</v>
      </c>
      <c r="D88" s="6">
        <v>199682.84000000008</v>
      </c>
      <c r="E88" s="6">
        <v>2951.21</v>
      </c>
      <c r="F88" s="6">
        <v>2410.4</v>
      </c>
      <c r="G88" s="6">
        <v>540.80999999999995</v>
      </c>
      <c r="H88" s="6">
        <v>1049</v>
      </c>
      <c r="I88" s="6">
        <v>196223.44000000009</v>
      </c>
      <c r="J88" s="2"/>
      <c r="K88" s="2"/>
      <c r="L88" s="2"/>
      <c r="M88" s="2"/>
      <c r="N88" s="2"/>
    </row>
    <row r="89" spans="1:14" ht="16.5" customHeight="1">
      <c r="A89" s="5">
        <v>71</v>
      </c>
      <c r="B89" s="23">
        <v>46113</v>
      </c>
      <c r="C89" s="22">
        <v>72</v>
      </c>
      <c r="D89" s="6">
        <v>196223.44000000009</v>
      </c>
      <c r="E89" s="6">
        <v>2951.21</v>
      </c>
      <c r="F89" s="6">
        <v>2419.77</v>
      </c>
      <c r="G89" s="6">
        <v>531.44000000000005</v>
      </c>
      <c r="H89" s="6">
        <v>1049</v>
      </c>
      <c r="I89" s="6">
        <v>192754.6700000001</v>
      </c>
      <c r="J89" s="2"/>
      <c r="K89" s="2"/>
      <c r="L89" s="2"/>
      <c r="M89" s="2"/>
      <c r="N89" s="2"/>
    </row>
    <row r="90" spans="1:14" ht="16.5" customHeight="1">
      <c r="A90" s="5">
        <v>72</v>
      </c>
      <c r="B90" s="23">
        <v>46143</v>
      </c>
      <c r="C90" s="22">
        <v>73</v>
      </c>
      <c r="D90" s="6">
        <v>192754.6700000001</v>
      </c>
      <c r="E90" s="6">
        <v>2951.21</v>
      </c>
      <c r="F90" s="6">
        <v>2429.17</v>
      </c>
      <c r="G90" s="6">
        <v>522.04</v>
      </c>
      <c r="H90" s="6">
        <v>1049</v>
      </c>
      <c r="I90" s="6">
        <v>189276.50000000009</v>
      </c>
      <c r="J90" s="2"/>
      <c r="K90" s="2"/>
      <c r="L90" s="2"/>
      <c r="M90" s="2"/>
      <c r="N90" s="2"/>
    </row>
    <row r="91" spans="1:14" ht="16.5" customHeight="1">
      <c r="A91" s="5">
        <v>73</v>
      </c>
      <c r="B91" s="23">
        <v>46174</v>
      </c>
      <c r="C91" s="22">
        <v>74</v>
      </c>
      <c r="D91" s="6">
        <v>189276.50000000009</v>
      </c>
      <c r="E91" s="6">
        <v>2951.21</v>
      </c>
      <c r="F91" s="6">
        <v>2438.59</v>
      </c>
      <c r="G91" s="6">
        <v>512.62</v>
      </c>
      <c r="H91" s="6">
        <v>1049</v>
      </c>
      <c r="I91" s="6">
        <v>185788.91000000009</v>
      </c>
      <c r="J91" s="2"/>
      <c r="K91" s="2"/>
      <c r="L91" s="2"/>
      <c r="M91" s="2"/>
      <c r="N91" s="2"/>
    </row>
    <row r="92" spans="1:14" ht="16.5" customHeight="1">
      <c r="A92" s="5">
        <v>74</v>
      </c>
      <c r="B92" s="23">
        <v>46204</v>
      </c>
      <c r="C92" s="22">
        <v>75</v>
      </c>
      <c r="D92" s="6">
        <v>185788.91000000009</v>
      </c>
      <c r="E92" s="6">
        <v>2951.21</v>
      </c>
      <c r="F92" s="6">
        <v>2448.0300000000002</v>
      </c>
      <c r="G92" s="6">
        <v>503.18</v>
      </c>
      <c r="H92" s="6">
        <v>1049</v>
      </c>
      <c r="I92" s="6">
        <v>182291.88000000009</v>
      </c>
      <c r="J92" s="2"/>
      <c r="K92" s="2"/>
      <c r="L92" s="2"/>
      <c r="M92" s="2"/>
      <c r="N92" s="2"/>
    </row>
    <row r="93" spans="1:14" ht="16.5" customHeight="1">
      <c r="A93" s="5">
        <v>75</v>
      </c>
      <c r="B93" s="23">
        <v>46235</v>
      </c>
      <c r="C93" s="22">
        <v>76</v>
      </c>
      <c r="D93" s="6">
        <v>182291.88000000009</v>
      </c>
      <c r="E93" s="6">
        <v>2951.21</v>
      </c>
      <c r="F93" s="6">
        <v>2457.5</v>
      </c>
      <c r="G93" s="6">
        <v>493.71</v>
      </c>
      <c r="H93" s="6">
        <v>1049</v>
      </c>
      <c r="I93" s="6">
        <v>178785.38000000009</v>
      </c>
      <c r="J93" s="2"/>
      <c r="K93" s="2"/>
      <c r="L93" s="2"/>
      <c r="M93" s="2"/>
      <c r="N93" s="2"/>
    </row>
    <row r="94" spans="1:14" ht="16.5" customHeight="1">
      <c r="A94" s="5">
        <v>76</v>
      </c>
      <c r="B94" s="23">
        <v>46266</v>
      </c>
      <c r="C94" s="22">
        <v>77</v>
      </c>
      <c r="D94" s="6">
        <v>178785.38000000009</v>
      </c>
      <c r="E94" s="6">
        <v>2951.21</v>
      </c>
      <c r="F94" s="6">
        <v>2467</v>
      </c>
      <c r="G94" s="6">
        <v>484.21</v>
      </c>
      <c r="H94" s="6">
        <v>1049</v>
      </c>
      <c r="I94" s="6">
        <v>175269.38000000009</v>
      </c>
      <c r="J94" s="2"/>
      <c r="K94" s="2"/>
      <c r="L94" s="2"/>
      <c r="M94" s="2"/>
      <c r="N94" s="2"/>
    </row>
    <row r="95" spans="1:14" ht="16.5" customHeight="1">
      <c r="A95" s="5">
        <v>77</v>
      </c>
      <c r="B95" s="23">
        <v>46296</v>
      </c>
      <c r="C95" s="22">
        <v>78</v>
      </c>
      <c r="D95" s="6">
        <v>175269.38000000009</v>
      </c>
      <c r="E95" s="6">
        <v>2951.21</v>
      </c>
      <c r="F95" s="6">
        <v>2476.52</v>
      </c>
      <c r="G95" s="6">
        <v>474.69</v>
      </c>
      <c r="H95" s="6">
        <v>1049</v>
      </c>
      <c r="I95" s="6">
        <v>171743.8600000001</v>
      </c>
      <c r="J95" s="2"/>
      <c r="K95" s="2"/>
      <c r="L95" s="2"/>
      <c r="M95" s="2"/>
      <c r="N95" s="2"/>
    </row>
    <row r="96" spans="1:14" ht="16.5" customHeight="1">
      <c r="A96" s="5">
        <v>78</v>
      </c>
      <c r="B96" s="23">
        <v>46327</v>
      </c>
      <c r="C96" s="22">
        <v>79</v>
      </c>
      <c r="D96" s="6">
        <v>171743.8600000001</v>
      </c>
      <c r="E96" s="6">
        <v>2951.21</v>
      </c>
      <c r="F96" s="6">
        <v>2486.0700000000002</v>
      </c>
      <c r="G96" s="6">
        <v>465.14</v>
      </c>
      <c r="H96" s="6">
        <v>1049</v>
      </c>
      <c r="I96" s="6">
        <v>168208.7900000001</v>
      </c>
      <c r="J96" s="2"/>
      <c r="K96" s="2"/>
      <c r="L96" s="2"/>
      <c r="M96" s="2"/>
      <c r="N96" s="2"/>
    </row>
    <row r="97" spans="1:14" ht="16.5" customHeight="1">
      <c r="A97" s="5">
        <v>79</v>
      </c>
      <c r="B97" s="23">
        <v>46357</v>
      </c>
      <c r="C97" s="22">
        <v>80</v>
      </c>
      <c r="D97" s="6">
        <v>168208.7900000001</v>
      </c>
      <c r="E97" s="6">
        <v>2951.21</v>
      </c>
      <c r="F97" s="6">
        <v>2495.64</v>
      </c>
      <c r="G97" s="6">
        <v>455.57</v>
      </c>
      <c r="H97" s="6">
        <v>1049</v>
      </c>
      <c r="I97" s="6">
        <v>164664.15000000008</v>
      </c>
      <c r="J97" s="2"/>
      <c r="K97" s="2"/>
      <c r="L97" s="2"/>
      <c r="M97" s="2"/>
      <c r="N97" s="2"/>
    </row>
    <row r="98" spans="1:14" ht="16.5" customHeight="1">
      <c r="A98" s="5">
        <v>80</v>
      </c>
      <c r="B98" s="23">
        <v>46388</v>
      </c>
      <c r="C98" s="22">
        <v>81</v>
      </c>
      <c r="D98" s="6">
        <v>164664.15000000008</v>
      </c>
      <c r="E98" s="6">
        <v>2951.21</v>
      </c>
      <c r="F98" s="6">
        <v>2505.2399999999998</v>
      </c>
      <c r="G98" s="6">
        <v>445.97</v>
      </c>
      <c r="H98" s="6">
        <v>1049</v>
      </c>
      <c r="I98" s="6">
        <v>161109.91000000009</v>
      </c>
      <c r="J98" s="2"/>
      <c r="K98" s="2"/>
      <c r="L98" s="2"/>
      <c r="M98" s="2"/>
      <c r="N98" s="2"/>
    </row>
    <row r="99" spans="1:14" ht="16.5" customHeight="1">
      <c r="A99" s="5">
        <v>81</v>
      </c>
      <c r="B99" s="23">
        <v>46419</v>
      </c>
      <c r="C99" s="22">
        <v>82</v>
      </c>
      <c r="D99" s="6">
        <v>161109.91000000009</v>
      </c>
      <c r="E99" s="6">
        <v>2951.21</v>
      </c>
      <c r="F99" s="6">
        <v>2514.87</v>
      </c>
      <c r="G99" s="6">
        <v>436.34</v>
      </c>
      <c r="H99" s="6">
        <v>1049</v>
      </c>
      <c r="I99" s="6">
        <v>157546.0400000001</v>
      </c>
      <c r="J99" s="2"/>
      <c r="K99" s="2"/>
      <c r="L99" s="2"/>
      <c r="M99" s="2"/>
      <c r="N99" s="2"/>
    </row>
    <row r="100" spans="1:14" ht="16.5" customHeight="1">
      <c r="A100" s="5">
        <v>82</v>
      </c>
      <c r="B100" s="23">
        <v>46447</v>
      </c>
      <c r="C100" s="22">
        <v>83</v>
      </c>
      <c r="D100" s="6">
        <v>157546.0400000001</v>
      </c>
      <c r="E100" s="6">
        <v>2951.21</v>
      </c>
      <c r="F100" s="6">
        <v>2524.52</v>
      </c>
      <c r="G100" s="6">
        <v>426.69</v>
      </c>
      <c r="H100" s="6">
        <v>1049</v>
      </c>
      <c r="I100" s="6">
        <v>153972.52000000011</v>
      </c>
      <c r="J100" s="2"/>
      <c r="K100" s="2"/>
      <c r="L100" s="2"/>
      <c r="M100" s="2"/>
      <c r="N100" s="2"/>
    </row>
    <row r="101" spans="1:14" ht="16.5" customHeight="1">
      <c r="A101" s="5">
        <v>83</v>
      </c>
      <c r="B101" s="23">
        <v>46478</v>
      </c>
      <c r="C101" s="22">
        <v>84</v>
      </c>
      <c r="D101" s="6">
        <v>153972.52000000011</v>
      </c>
      <c r="E101" s="6">
        <v>2951.21</v>
      </c>
      <c r="F101" s="6">
        <v>2534.1999999999998</v>
      </c>
      <c r="G101" s="6">
        <v>417.01</v>
      </c>
      <c r="H101" s="6">
        <v>1049</v>
      </c>
      <c r="I101" s="6">
        <v>150389.32000000009</v>
      </c>
      <c r="J101" s="2"/>
      <c r="K101" s="2"/>
      <c r="L101" s="2"/>
      <c r="M101" s="2"/>
      <c r="N101" s="2"/>
    </row>
    <row r="102" spans="1:14" ht="16.5" customHeight="1">
      <c r="A102" s="5">
        <v>84</v>
      </c>
      <c r="B102" s="23">
        <v>46508</v>
      </c>
      <c r="C102" s="22">
        <v>85</v>
      </c>
      <c r="D102" s="6">
        <v>150389.32000000009</v>
      </c>
      <c r="E102" s="6">
        <v>2951.21</v>
      </c>
      <c r="F102" s="6">
        <v>2543.91</v>
      </c>
      <c r="G102" s="6">
        <v>407.3</v>
      </c>
      <c r="H102" s="6">
        <v>1049</v>
      </c>
      <c r="I102" s="6">
        <v>146796.41000000009</v>
      </c>
      <c r="J102" s="2"/>
      <c r="K102" s="2"/>
      <c r="L102" s="2"/>
      <c r="M102" s="2"/>
      <c r="N102" s="2"/>
    </row>
    <row r="103" spans="1:14" ht="16.5" customHeight="1">
      <c r="A103" s="5">
        <v>85</v>
      </c>
      <c r="B103" s="23">
        <v>46539</v>
      </c>
      <c r="C103" s="22">
        <v>86</v>
      </c>
      <c r="D103" s="6">
        <v>146796.41000000009</v>
      </c>
      <c r="E103" s="6">
        <v>2951.21</v>
      </c>
      <c r="F103" s="6">
        <v>2553.64</v>
      </c>
      <c r="G103" s="6">
        <v>397.57</v>
      </c>
      <c r="H103" s="6">
        <v>1049</v>
      </c>
      <c r="I103" s="6">
        <v>143193.77000000008</v>
      </c>
      <c r="J103" s="2"/>
      <c r="K103" s="2"/>
      <c r="L103" s="2"/>
      <c r="M103" s="2"/>
      <c r="N103" s="2"/>
    </row>
    <row r="104" spans="1:14" ht="16.5" customHeight="1">
      <c r="A104" s="5">
        <v>86</v>
      </c>
      <c r="B104" s="23">
        <v>46569</v>
      </c>
      <c r="C104" s="22">
        <v>87</v>
      </c>
      <c r="D104" s="6">
        <v>143193.77000000008</v>
      </c>
      <c r="E104" s="6">
        <v>2951.21</v>
      </c>
      <c r="F104" s="6">
        <v>2563.39</v>
      </c>
      <c r="G104" s="6">
        <v>387.82</v>
      </c>
      <c r="H104" s="6">
        <v>1049</v>
      </c>
      <c r="I104" s="6">
        <v>139581.38000000006</v>
      </c>
      <c r="J104" s="2"/>
      <c r="K104" s="2"/>
      <c r="L104" s="2"/>
      <c r="M104" s="2"/>
      <c r="N104" s="2"/>
    </row>
    <row r="105" spans="1:14" ht="16.5" customHeight="1">
      <c r="A105" s="5">
        <v>87</v>
      </c>
      <c r="B105" s="23">
        <v>46600</v>
      </c>
      <c r="C105" s="22">
        <v>88</v>
      </c>
      <c r="D105" s="6">
        <v>139581.38000000006</v>
      </c>
      <c r="E105" s="6">
        <v>2951.21</v>
      </c>
      <c r="F105" s="6">
        <v>2573.1800000000003</v>
      </c>
      <c r="G105" s="6">
        <v>378.03</v>
      </c>
      <c r="H105" s="6">
        <v>1049</v>
      </c>
      <c r="I105" s="6">
        <v>135959.20000000007</v>
      </c>
      <c r="J105" s="2"/>
      <c r="K105" s="2"/>
      <c r="L105" s="2"/>
      <c r="M105" s="2"/>
      <c r="N105" s="2"/>
    </row>
    <row r="106" spans="1:14" ht="16.5" customHeight="1">
      <c r="A106" s="5">
        <v>88</v>
      </c>
      <c r="B106" s="23">
        <v>46631</v>
      </c>
      <c r="C106" s="22">
        <v>89</v>
      </c>
      <c r="D106" s="6">
        <v>135959.20000000007</v>
      </c>
      <c r="E106" s="6">
        <v>2951.21</v>
      </c>
      <c r="F106" s="6">
        <v>2582.9899999999998</v>
      </c>
      <c r="G106" s="6">
        <v>368.22</v>
      </c>
      <c r="H106" s="6">
        <v>1049</v>
      </c>
      <c r="I106" s="6">
        <v>132327.21000000008</v>
      </c>
      <c r="J106" s="2"/>
      <c r="K106" s="2"/>
      <c r="L106" s="2"/>
      <c r="M106" s="2"/>
      <c r="N106" s="2"/>
    </row>
    <row r="107" spans="1:14" ht="16.5" customHeight="1">
      <c r="A107" s="5">
        <v>89</v>
      </c>
      <c r="B107" s="23">
        <v>46661</v>
      </c>
      <c r="C107" s="22">
        <v>90</v>
      </c>
      <c r="D107" s="6">
        <v>132327.21000000008</v>
      </c>
      <c r="E107" s="6">
        <v>2951.21</v>
      </c>
      <c r="F107" s="6">
        <v>2592.8200000000002</v>
      </c>
      <c r="G107" s="6">
        <v>358.39</v>
      </c>
      <c r="H107" s="6">
        <v>1049</v>
      </c>
      <c r="I107" s="6">
        <v>128685.39000000007</v>
      </c>
      <c r="J107" s="2"/>
      <c r="K107" s="2"/>
      <c r="L107" s="2"/>
      <c r="M107" s="2"/>
      <c r="N107" s="2"/>
    </row>
    <row r="108" spans="1:14" ht="16.5" customHeight="1">
      <c r="A108" s="5">
        <v>90</v>
      </c>
      <c r="B108" s="23">
        <v>46692</v>
      </c>
      <c r="C108" s="22">
        <v>91</v>
      </c>
      <c r="D108" s="6">
        <v>128685.39000000007</v>
      </c>
      <c r="E108" s="6">
        <v>2951.21</v>
      </c>
      <c r="F108" s="6">
        <v>2602.69</v>
      </c>
      <c r="G108" s="6">
        <v>348.52</v>
      </c>
      <c r="H108" s="6">
        <v>1049</v>
      </c>
      <c r="I108" s="6">
        <v>125033.70000000007</v>
      </c>
      <c r="J108" s="2"/>
      <c r="K108" s="2"/>
      <c r="L108" s="2"/>
      <c r="M108" s="2"/>
      <c r="N108" s="2"/>
    </row>
    <row r="109" spans="1:14" ht="16.5" customHeight="1">
      <c r="A109" s="5">
        <v>91</v>
      </c>
      <c r="B109" s="23">
        <v>46722</v>
      </c>
      <c r="C109" s="22">
        <v>92</v>
      </c>
      <c r="D109" s="6">
        <v>125033.70000000007</v>
      </c>
      <c r="E109" s="6">
        <v>2951.21</v>
      </c>
      <c r="F109" s="6">
        <v>2612.58</v>
      </c>
      <c r="G109" s="6">
        <v>338.63</v>
      </c>
      <c r="H109" s="6">
        <v>1049</v>
      </c>
      <c r="I109" s="6">
        <v>121372.12000000007</v>
      </c>
      <c r="J109" s="2"/>
      <c r="K109" s="2"/>
      <c r="L109" s="2"/>
      <c r="M109" s="2"/>
      <c r="N109" s="2"/>
    </row>
    <row r="110" spans="1:14" ht="16.5" customHeight="1">
      <c r="A110" s="5">
        <v>92</v>
      </c>
      <c r="B110" s="23">
        <v>46753</v>
      </c>
      <c r="C110" s="22">
        <v>93</v>
      </c>
      <c r="D110" s="6">
        <v>121372.12000000007</v>
      </c>
      <c r="E110" s="6">
        <v>2951.21</v>
      </c>
      <c r="F110" s="6">
        <v>2622.49</v>
      </c>
      <c r="G110" s="6">
        <v>328.72</v>
      </c>
      <c r="H110" s="6">
        <v>1049</v>
      </c>
      <c r="I110" s="6">
        <v>117700.63000000006</v>
      </c>
      <c r="J110" s="2"/>
      <c r="K110" s="2"/>
      <c r="L110" s="2"/>
      <c r="M110" s="2"/>
      <c r="N110" s="2"/>
    </row>
    <row r="111" spans="1:14" ht="16.5" customHeight="1">
      <c r="A111" s="5">
        <v>93</v>
      </c>
      <c r="B111" s="23">
        <v>46784</v>
      </c>
      <c r="C111" s="22">
        <v>94</v>
      </c>
      <c r="D111" s="6">
        <v>117700.63000000006</v>
      </c>
      <c r="E111" s="6">
        <v>2951.21</v>
      </c>
      <c r="F111" s="6">
        <v>2632.44</v>
      </c>
      <c r="G111" s="6">
        <v>318.77</v>
      </c>
      <c r="H111" s="6">
        <v>1049</v>
      </c>
      <c r="I111" s="6">
        <v>114019.19000000006</v>
      </c>
      <c r="J111" s="2"/>
      <c r="K111" s="2"/>
      <c r="L111" s="2"/>
      <c r="M111" s="2"/>
      <c r="N111" s="2"/>
    </row>
    <row r="112" spans="1:14" ht="16.5" customHeight="1">
      <c r="A112" s="5">
        <v>94</v>
      </c>
      <c r="B112" s="23">
        <v>46813</v>
      </c>
      <c r="C112" s="22">
        <v>95</v>
      </c>
      <c r="D112" s="6">
        <v>114019.19000000006</v>
      </c>
      <c r="E112" s="6">
        <v>2951.21</v>
      </c>
      <c r="F112" s="6">
        <v>2642.41</v>
      </c>
      <c r="G112" s="6">
        <v>308.8</v>
      </c>
      <c r="H112" s="6">
        <v>1049</v>
      </c>
      <c r="I112" s="6">
        <v>110327.78000000006</v>
      </c>
      <c r="J112" s="2"/>
      <c r="K112" s="2"/>
      <c r="L112" s="2"/>
      <c r="M112" s="2"/>
      <c r="N112" s="2"/>
    </row>
    <row r="113" spans="1:14" ht="16.5" customHeight="1">
      <c r="A113" s="5">
        <v>95</v>
      </c>
      <c r="B113" s="23">
        <v>46844</v>
      </c>
      <c r="C113" s="22">
        <v>96</v>
      </c>
      <c r="D113" s="6">
        <v>110327.78000000006</v>
      </c>
      <c r="E113" s="6">
        <v>2951.21</v>
      </c>
      <c r="F113" s="6">
        <v>2652.41</v>
      </c>
      <c r="G113" s="6">
        <v>298.8</v>
      </c>
      <c r="H113" s="6">
        <v>1049</v>
      </c>
      <c r="I113" s="6">
        <v>106626.37000000005</v>
      </c>
      <c r="J113" s="2"/>
      <c r="K113" s="2"/>
      <c r="L113" s="2"/>
      <c r="M113" s="2"/>
      <c r="N113" s="2"/>
    </row>
    <row r="114" spans="1:14" ht="16.5" customHeight="1">
      <c r="A114" s="5">
        <v>96</v>
      </c>
      <c r="B114" s="23">
        <v>46874</v>
      </c>
      <c r="C114" s="22">
        <v>97</v>
      </c>
      <c r="D114" s="6">
        <v>106626.37000000005</v>
      </c>
      <c r="E114" s="6">
        <v>2951.21</v>
      </c>
      <c r="F114" s="6">
        <v>2662.4300000000003</v>
      </c>
      <c r="G114" s="6">
        <v>288.77999999999997</v>
      </c>
      <c r="H114" s="6">
        <v>1049</v>
      </c>
      <c r="I114" s="6">
        <v>102914.94000000006</v>
      </c>
      <c r="J114" s="2"/>
      <c r="K114" s="2"/>
      <c r="L114" s="2"/>
      <c r="M114" s="2"/>
      <c r="N114" s="2"/>
    </row>
    <row r="115" spans="1:14" ht="16.5" customHeight="1">
      <c r="A115" s="5">
        <v>97</v>
      </c>
      <c r="B115" s="23">
        <v>46905</v>
      </c>
      <c r="C115" s="22">
        <v>98</v>
      </c>
      <c r="D115" s="6">
        <v>102914.94000000006</v>
      </c>
      <c r="E115" s="6">
        <v>2951.21</v>
      </c>
      <c r="F115" s="6">
        <v>2672.48</v>
      </c>
      <c r="G115" s="6">
        <v>278.73</v>
      </c>
      <c r="H115" s="6">
        <v>1049</v>
      </c>
      <c r="I115" s="6">
        <v>99193.460000000065</v>
      </c>
      <c r="J115" s="2"/>
      <c r="K115" s="2"/>
      <c r="L115" s="2"/>
      <c r="M115" s="2"/>
      <c r="N115" s="2"/>
    </row>
    <row r="116" spans="1:14" ht="16.5" customHeight="1">
      <c r="A116" s="5">
        <v>98</v>
      </c>
      <c r="B116" s="23">
        <v>46935</v>
      </c>
      <c r="C116" s="22">
        <v>99</v>
      </c>
      <c r="D116" s="6">
        <v>99193.460000000065</v>
      </c>
      <c r="E116" s="6">
        <v>2951.21</v>
      </c>
      <c r="F116" s="6">
        <v>2682.56</v>
      </c>
      <c r="G116" s="6">
        <v>268.64999999999998</v>
      </c>
      <c r="H116" s="6">
        <v>1049</v>
      </c>
      <c r="I116" s="6">
        <v>95461.900000000067</v>
      </c>
      <c r="J116" s="2"/>
      <c r="K116" s="2"/>
      <c r="L116" s="2"/>
      <c r="M116" s="2"/>
      <c r="N116" s="2"/>
    </row>
    <row r="117" spans="1:14" ht="16.5" customHeight="1">
      <c r="A117" s="5">
        <v>99</v>
      </c>
      <c r="B117" s="23">
        <v>46966</v>
      </c>
      <c r="C117" s="22">
        <v>100</v>
      </c>
      <c r="D117" s="6">
        <v>95461.900000000067</v>
      </c>
      <c r="E117" s="6">
        <v>2951.21</v>
      </c>
      <c r="F117" s="6">
        <v>2692.67</v>
      </c>
      <c r="G117" s="6">
        <v>258.54000000000002</v>
      </c>
      <c r="H117" s="6">
        <v>1049</v>
      </c>
      <c r="I117" s="6">
        <v>91720.230000000069</v>
      </c>
      <c r="J117" s="2"/>
      <c r="K117" s="2"/>
      <c r="L117" s="2"/>
      <c r="M117" s="2"/>
      <c r="N117" s="2"/>
    </row>
    <row r="118" spans="1:14" ht="16.5" customHeight="1">
      <c r="A118" s="5">
        <v>100</v>
      </c>
      <c r="B118" s="23">
        <v>46997</v>
      </c>
      <c r="C118" s="22">
        <v>101</v>
      </c>
      <c r="D118" s="6">
        <v>91720.230000000069</v>
      </c>
      <c r="E118" s="6">
        <v>2951.21</v>
      </c>
      <c r="F118" s="6">
        <v>2702.8</v>
      </c>
      <c r="G118" s="6">
        <v>248.41</v>
      </c>
      <c r="H118" s="6">
        <v>1049</v>
      </c>
      <c r="I118" s="6">
        <v>87968.430000000066</v>
      </c>
      <c r="J118" s="2"/>
      <c r="K118" s="2"/>
      <c r="L118" s="2"/>
      <c r="M118" s="2"/>
      <c r="N118" s="2"/>
    </row>
    <row r="119" spans="1:14" ht="16.5" customHeight="1">
      <c r="A119" s="5">
        <v>101</v>
      </c>
      <c r="B119" s="23">
        <v>47027</v>
      </c>
      <c r="C119" s="22">
        <v>102</v>
      </c>
      <c r="D119" s="6">
        <v>87968.430000000066</v>
      </c>
      <c r="E119" s="6">
        <v>2951.21</v>
      </c>
      <c r="F119" s="6">
        <v>2712.96</v>
      </c>
      <c r="G119" s="6">
        <v>238.25</v>
      </c>
      <c r="H119" s="6">
        <v>1049</v>
      </c>
      <c r="I119" s="6">
        <v>84206.470000000059</v>
      </c>
      <c r="J119" s="2"/>
      <c r="K119" s="2"/>
      <c r="L119" s="2"/>
      <c r="M119" s="2"/>
      <c r="N119" s="2"/>
    </row>
    <row r="120" spans="1:14" ht="16.5" customHeight="1">
      <c r="A120" s="5">
        <v>102</v>
      </c>
      <c r="B120" s="23">
        <v>47058</v>
      </c>
      <c r="C120" s="22">
        <v>103</v>
      </c>
      <c r="D120" s="6">
        <v>84206.470000000059</v>
      </c>
      <c r="E120" s="6">
        <v>2951.21</v>
      </c>
      <c r="F120" s="6">
        <v>2723.15</v>
      </c>
      <c r="G120" s="6">
        <v>228.06</v>
      </c>
      <c r="H120" s="6">
        <v>1049</v>
      </c>
      <c r="I120" s="6">
        <v>80434.320000000065</v>
      </c>
      <c r="J120" s="2"/>
      <c r="K120" s="2"/>
      <c r="L120" s="2"/>
      <c r="M120" s="2"/>
      <c r="N120" s="2"/>
    </row>
    <row r="121" spans="1:14" ht="16.5" customHeight="1">
      <c r="A121" s="5">
        <v>103</v>
      </c>
      <c r="B121" s="23">
        <v>47088</v>
      </c>
      <c r="C121" s="22">
        <v>104</v>
      </c>
      <c r="D121" s="6">
        <v>80434.320000000065</v>
      </c>
      <c r="E121" s="6">
        <v>2951.21</v>
      </c>
      <c r="F121" s="6">
        <v>2733.37</v>
      </c>
      <c r="G121" s="6">
        <v>217.84</v>
      </c>
      <c r="H121" s="6">
        <v>1049</v>
      </c>
      <c r="I121" s="6">
        <v>76651.95000000007</v>
      </c>
      <c r="J121" s="2"/>
      <c r="K121" s="2"/>
      <c r="L121" s="2"/>
      <c r="M121" s="2"/>
      <c r="N121" s="2"/>
    </row>
    <row r="122" spans="1:14" ht="16.5" customHeight="1">
      <c r="A122" s="5">
        <v>104</v>
      </c>
      <c r="B122" s="23">
        <v>47119</v>
      </c>
      <c r="C122" s="22">
        <v>105</v>
      </c>
      <c r="D122" s="6">
        <v>76651.95000000007</v>
      </c>
      <c r="E122" s="6">
        <v>2951.21</v>
      </c>
      <c r="F122" s="6">
        <v>2743.61</v>
      </c>
      <c r="G122" s="6">
        <v>207.6</v>
      </c>
      <c r="H122" s="6">
        <v>1049</v>
      </c>
      <c r="I122" s="6">
        <v>72859.340000000069</v>
      </c>
      <c r="J122" s="2"/>
      <c r="K122" s="2"/>
      <c r="L122" s="2"/>
      <c r="M122" s="2"/>
      <c r="N122" s="2"/>
    </row>
    <row r="123" spans="1:14" ht="16.5" customHeight="1">
      <c r="A123" s="5">
        <v>105</v>
      </c>
      <c r="B123" s="23">
        <v>47150</v>
      </c>
      <c r="C123" s="22">
        <v>106</v>
      </c>
      <c r="D123" s="6">
        <v>72859.340000000069</v>
      </c>
      <c r="E123" s="6">
        <v>2951.21</v>
      </c>
      <c r="F123" s="6">
        <v>2753.88</v>
      </c>
      <c r="G123" s="6">
        <v>197.33</v>
      </c>
      <c r="H123" s="6">
        <v>1049</v>
      </c>
      <c r="I123" s="6">
        <v>69056.460000000065</v>
      </c>
      <c r="J123" s="2"/>
      <c r="K123" s="2"/>
      <c r="L123" s="2"/>
      <c r="M123" s="2"/>
      <c r="N123" s="2"/>
    </row>
    <row r="124" spans="1:14" ht="16.5" customHeight="1">
      <c r="A124" s="5">
        <v>106</v>
      </c>
      <c r="B124" s="23">
        <v>47178</v>
      </c>
      <c r="C124" s="22">
        <v>107</v>
      </c>
      <c r="D124" s="6">
        <v>69056.460000000065</v>
      </c>
      <c r="E124" s="6">
        <v>2951.21</v>
      </c>
      <c r="F124" s="6">
        <v>2764.18</v>
      </c>
      <c r="G124" s="6">
        <v>187.03</v>
      </c>
      <c r="H124" s="6">
        <v>1049</v>
      </c>
      <c r="I124" s="6">
        <v>65243.280000000064</v>
      </c>
      <c r="J124" s="2"/>
      <c r="K124" s="2"/>
      <c r="L124" s="2"/>
      <c r="M124" s="2"/>
      <c r="N124" s="2"/>
    </row>
    <row r="125" spans="1:14" ht="16.5" customHeight="1">
      <c r="A125" s="5">
        <v>107</v>
      </c>
      <c r="B125" s="23">
        <v>47209</v>
      </c>
      <c r="C125" s="22">
        <v>108</v>
      </c>
      <c r="D125" s="6">
        <v>65243.280000000064</v>
      </c>
      <c r="E125" s="6">
        <v>2951.21</v>
      </c>
      <c r="F125" s="6">
        <v>2774.51</v>
      </c>
      <c r="G125" s="6">
        <v>176.7</v>
      </c>
      <c r="H125" s="6">
        <v>1049</v>
      </c>
      <c r="I125" s="6">
        <v>61419.770000000062</v>
      </c>
      <c r="J125" s="2"/>
      <c r="K125" s="2"/>
      <c r="L125" s="2"/>
      <c r="M125" s="2"/>
      <c r="N125" s="2"/>
    </row>
    <row r="126" spans="1:14" ht="16.5" customHeight="1">
      <c r="A126" s="5">
        <v>108</v>
      </c>
      <c r="B126" s="23">
        <v>47239</v>
      </c>
      <c r="C126" s="22">
        <v>109</v>
      </c>
      <c r="D126" s="6">
        <v>61419.770000000062</v>
      </c>
      <c r="E126" s="6">
        <v>2951.21</v>
      </c>
      <c r="F126" s="6">
        <v>2784.86</v>
      </c>
      <c r="G126" s="6">
        <v>166.35</v>
      </c>
      <c r="H126" s="6">
        <v>1049</v>
      </c>
      <c r="I126" s="6">
        <v>57585.910000000062</v>
      </c>
      <c r="J126" s="2"/>
      <c r="K126" s="2"/>
      <c r="L126" s="2"/>
      <c r="M126" s="2"/>
      <c r="N126" s="2"/>
    </row>
    <row r="127" spans="1:14" ht="16.5" customHeight="1">
      <c r="A127" s="5">
        <v>109</v>
      </c>
      <c r="B127" s="23">
        <v>47270</v>
      </c>
      <c r="C127" s="22">
        <v>110</v>
      </c>
      <c r="D127" s="6">
        <v>57585.910000000062</v>
      </c>
      <c r="E127" s="6">
        <v>2951.21</v>
      </c>
      <c r="F127" s="6">
        <v>2795.25</v>
      </c>
      <c r="G127" s="6">
        <v>155.96</v>
      </c>
      <c r="H127" s="6">
        <v>1049</v>
      </c>
      <c r="I127" s="6">
        <v>53741.660000000062</v>
      </c>
      <c r="J127" s="2"/>
      <c r="K127" s="2"/>
      <c r="L127" s="2"/>
      <c r="M127" s="2"/>
      <c r="N127" s="2"/>
    </row>
    <row r="128" spans="1:14" ht="16.5" customHeight="1">
      <c r="A128" s="5">
        <v>110</v>
      </c>
      <c r="B128" s="23">
        <v>47300</v>
      </c>
      <c r="C128" s="22">
        <v>111</v>
      </c>
      <c r="D128" s="6">
        <v>53741.660000000062</v>
      </c>
      <c r="E128" s="6">
        <v>2951.21</v>
      </c>
      <c r="F128" s="6">
        <v>2805.66</v>
      </c>
      <c r="G128" s="6">
        <v>145.55000000000001</v>
      </c>
      <c r="H128" s="6">
        <v>1049</v>
      </c>
      <c r="I128" s="6">
        <v>49887.000000000058</v>
      </c>
      <c r="J128" s="2"/>
      <c r="K128" s="2"/>
      <c r="L128" s="2"/>
      <c r="M128" s="2"/>
      <c r="N128" s="2"/>
    </row>
    <row r="129" spans="1:15" ht="16.5" customHeight="1">
      <c r="A129" s="5">
        <v>111</v>
      </c>
      <c r="B129" s="23">
        <v>47331</v>
      </c>
      <c r="C129" s="22">
        <v>112</v>
      </c>
      <c r="D129" s="6">
        <v>49887.000000000058</v>
      </c>
      <c r="E129" s="6">
        <v>2951.21</v>
      </c>
      <c r="F129" s="6">
        <v>2816.1</v>
      </c>
      <c r="G129" s="6">
        <v>135.11000000000001</v>
      </c>
      <c r="H129" s="6">
        <v>1049</v>
      </c>
      <c r="I129" s="6">
        <v>46021.90000000006</v>
      </c>
      <c r="K129" s="2"/>
      <c r="L129" s="32"/>
      <c r="M129" s="14"/>
      <c r="O129" s="9"/>
    </row>
    <row r="130" spans="1:15" ht="16.5" customHeight="1">
      <c r="A130" s="5">
        <v>112</v>
      </c>
      <c r="B130" s="23">
        <v>47362</v>
      </c>
      <c r="C130" s="22">
        <v>113</v>
      </c>
      <c r="D130" s="6">
        <v>46021.90000000006</v>
      </c>
      <c r="E130" s="6">
        <v>2951.21</v>
      </c>
      <c r="F130" s="6">
        <v>2826.57</v>
      </c>
      <c r="G130" s="6">
        <v>124.64</v>
      </c>
      <c r="H130" s="6">
        <v>1049</v>
      </c>
      <c r="I130" s="6">
        <v>42146.33000000006</v>
      </c>
      <c r="K130" s="2"/>
      <c r="L130" s="32"/>
      <c r="M130" s="14"/>
      <c r="O130" s="9"/>
    </row>
    <row r="131" spans="1:15" ht="16.5" customHeight="1">
      <c r="A131" s="5">
        <v>113</v>
      </c>
      <c r="B131" s="23">
        <v>47392</v>
      </c>
      <c r="C131" s="22">
        <v>114</v>
      </c>
      <c r="D131" s="6">
        <v>42146.33000000006</v>
      </c>
      <c r="E131" s="6">
        <v>2951.21</v>
      </c>
      <c r="F131" s="6">
        <v>2837.06</v>
      </c>
      <c r="G131" s="6">
        <v>114.15</v>
      </c>
      <c r="H131" s="6">
        <v>1049</v>
      </c>
      <c r="I131" s="6">
        <v>38260.270000000062</v>
      </c>
      <c r="K131" s="2"/>
      <c r="L131" s="32"/>
      <c r="M131" s="14"/>
      <c r="O131" s="9"/>
    </row>
    <row r="132" spans="1:15" ht="16.5" customHeight="1">
      <c r="A132" s="5">
        <v>114</v>
      </c>
      <c r="B132" s="23">
        <v>47423</v>
      </c>
      <c r="C132" s="22">
        <v>115</v>
      </c>
      <c r="D132" s="6">
        <v>38260.270000000062</v>
      </c>
      <c r="E132" s="6">
        <v>2951.21</v>
      </c>
      <c r="F132" s="6">
        <v>2847.59</v>
      </c>
      <c r="G132" s="6">
        <v>103.62</v>
      </c>
      <c r="H132" s="6">
        <v>1049</v>
      </c>
      <c r="I132" s="6">
        <v>34363.680000000066</v>
      </c>
      <c r="K132" s="2"/>
      <c r="L132" s="32"/>
      <c r="M132" s="14"/>
      <c r="O132" s="9"/>
    </row>
    <row r="133" spans="1:15" ht="16.5" customHeight="1">
      <c r="A133" s="5">
        <v>115</v>
      </c>
      <c r="B133" s="23">
        <v>47453</v>
      </c>
      <c r="C133" s="22">
        <v>116</v>
      </c>
      <c r="D133" s="6">
        <v>34363.680000000066</v>
      </c>
      <c r="E133" s="6">
        <v>2951.21</v>
      </c>
      <c r="F133" s="6">
        <v>2858.14</v>
      </c>
      <c r="G133" s="6">
        <v>93.07</v>
      </c>
      <c r="H133" s="6">
        <v>1049</v>
      </c>
      <c r="I133" s="6">
        <v>30456.540000000066</v>
      </c>
      <c r="K133" s="2"/>
      <c r="L133" s="32"/>
      <c r="O133" s="9"/>
    </row>
    <row r="134" spans="1:15" ht="16.5" customHeight="1">
      <c r="A134" s="5">
        <v>116</v>
      </c>
      <c r="B134" s="23">
        <v>47484</v>
      </c>
      <c r="C134" s="22">
        <v>117</v>
      </c>
      <c r="D134" s="6">
        <v>30456.540000000066</v>
      </c>
      <c r="E134" s="6">
        <v>2951.21</v>
      </c>
      <c r="F134" s="6">
        <v>2868.7200000000003</v>
      </c>
      <c r="G134" s="6">
        <v>82.49</v>
      </c>
      <c r="H134" s="6">
        <v>1049</v>
      </c>
      <c r="I134" s="6">
        <v>26538.820000000065</v>
      </c>
      <c r="K134" s="2"/>
      <c r="L134" s="32"/>
      <c r="O134" s="9"/>
    </row>
    <row r="135" spans="1:15" ht="16.5" customHeight="1">
      <c r="A135" s="5">
        <v>117</v>
      </c>
      <c r="B135" s="23">
        <v>47515</v>
      </c>
      <c r="C135" s="22">
        <v>118</v>
      </c>
      <c r="D135" s="6">
        <v>26538.820000000065</v>
      </c>
      <c r="E135" s="6">
        <v>2951.21</v>
      </c>
      <c r="F135" s="6">
        <v>2879.33</v>
      </c>
      <c r="G135" s="6">
        <v>71.88</v>
      </c>
      <c r="H135" s="6">
        <v>1049</v>
      </c>
      <c r="I135" s="6">
        <v>22610.490000000063</v>
      </c>
      <c r="K135" s="2"/>
      <c r="L135" s="32"/>
      <c r="O135" s="9"/>
    </row>
    <row r="136" spans="1:15" ht="16.5" customHeight="1">
      <c r="A136" s="5">
        <v>118</v>
      </c>
      <c r="B136" s="23">
        <v>47543</v>
      </c>
      <c r="C136" s="22">
        <v>119</v>
      </c>
      <c r="D136" s="6">
        <v>22610.490000000063</v>
      </c>
      <c r="E136" s="6">
        <v>2951.21</v>
      </c>
      <c r="F136" s="6">
        <v>2889.9700000000003</v>
      </c>
      <c r="G136" s="6">
        <v>61.24</v>
      </c>
      <c r="H136" s="6">
        <v>1049</v>
      </c>
      <c r="I136" s="6">
        <v>18671.520000000062</v>
      </c>
      <c r="K136" s="2"/>
      <c r="L136" s="32"/>
      <c r="O136" s="9"/>
    </row>
    <row r="137" spans="1:15" ht="16.5" customHeight="1">
      <c r="A137" s="5">
        <v>119</v>
      </c>
      <c r="B137" s="23">
        <v>47574</v>
      </c>
      <c r="C137" s="22">
        <v>120</v>
      </c>
      <c r="D137" s="6">
        <v>18671.520000000062</v>
      </c>
      <c r="E137" s="6">
        <v>2951.21</v>
      </c>
      <c r="F137" s="6">
        <v>2900.64</v>
      </c>
      <c r="G137" s="6">
        <v>50.57</v>
      </c>
      <c r="H137" s="6">
        <v>1049</v>
      </c>
      <c r="I137" s="6">
        <v>14721.880000000063</v>
      </c>
      <c r="K137" s="2"/>
      <c r="L137" s="32"/>
      <c r="O137" s="9"/>
    </row>
    <row r="138" spans="1:15" ht="16.5" customHeight="1">
      <c r="A138" s="5">
        <v>120</v>
      </c>
      <c r="B138" s="23">
        <v>47604</v>
      </c>
      <c r="C138" s="22">
        <v>121</v>
      </c>
      <c r="D138" s="6">
        <v>14721.880000000063</v>
      </c>
      <c r="E138" s="6">
        <v>2951.21</v>
      </c>
      <c r="F138" s="6">
        <v>2911.34</v>
      </c>
      <c r="G138" s="6">
        <v>39.869999999999997</v>
      </c>
      <c r="H138" s="6">
        <v>1049</v>
      </c>
      <c r="I138" s="6">
        <v>10761.540000000063</v>
      </c>
      <c r="K138" s="2"/>
      <c r="L138" s="32"/>
      <c r="O138" s="9"/>
    </row>
    <row r="139" spans="1:15" ht="16.5" customHeight="1">
      <c r="A139" s="5">
        <v>121</v>
      </c>
      <c r="B139" s="23">
        <v>47635</v>
      </c>
      <c r="C139" s="22">
        <v>122</v>
      </c>
      <c r="D139" s="6">
        <v>10761.540000000063</v>
      </c>
      <c r="E139" s="6">
        <v>2951.21</v>
      </c>
      <c r="F139" s="6">
        <v>2922.06</v>
      </c>
      <c r="G139" s="6">
        <v>29.15</v>
      </c>
      <c r="H139" s="6">
        <v>1049</v>
      </c>
      <c r="I139" s="6">
        <v>6790.4800000000632</v>
      </c>
      <c r="K139" s="2"/>
      <c r="L139" s="32"/>
      <c r="O139" s="9"/>
    </row>
    <row r="140" spans="1:15" ht="16.5" customHeight="1">
      <c r="A140" s="5">
        <v>122</v>
      </c>
      <c r="B140" s="23">
        <v>47665</v>
      </c>
      <c r="C140" s="22">
        <v>123</v>
      </c>
      <c r="D140" s="6">
        <v>6790.4800000000632</v>
      </c>
      <c r="E140" s="6">
        <v>2951.21</v>
      </c>
      <c r="F140" s="6">
        <v>2932.82</v>
      </c>
      <c r="G140" s="6">
        <v>18.39</v>
      </c>
      <c r="H140" s="6">
        <v>1049</v>
      </c>
      <c r="I140" s="6">
        <v>2808.6600000000631</v>
      </c>
      <c r="K140" s="2"/>
      <c r="L140" s="32"/>
      <c r="O140" s="9"/>
    </row>
    <row r="141" spans="1:15" ht="16.5" customHeight="1">
      <c r="A141" s="5">
        <v>123</v>
      </c>
      <c r="B141" s="23">
        <v>47696</v>
      </c>
      <c r="C141" s="22">
        <v>124</v>
      </c>
      <c r="D141" s="6">
        <v>2808.6600000000631</v>
      </c>
      <c r="E141" s="6">
        <v>2816.2700000000632</v>
      </c>
      <c r="F141" s="6">
        <v>2808.6600000000631</v>
      </c>
      <c r="G141" s="6">
        <v>7.61</v>
      </c>
      <c r="H141" s="6">
        <v>0</v>
      </c>
      <c r="I141" s="6">
        <v>0</v>
      </c>
      <c r="K141" s="2"/>
      <c r="L141" s="32"/>
      <c r="O141" s="9"/>
    </row>
    <row r="142" spans="1:15" ht="16.5" customHeight="1">
      <c r="B142" s="23"/>
      <c r="C142" s="22"/>
      <c r="H142" s="6"/>
      <c r="I142" s="6"/>
      <c r="K142" s="2"/>
      <c r="L142" s="32"/>
      <c r="O142" s="9"/>
    </row>
    <row r="143" spans="1:15" ht="16.5" customHeight="1">
      <c r="B143" s="23"/>
      <c r="C143" s="22"/>
      <c r="H143" s="6"/>
      <c r="I143" s="6"/>
      <c r="K143" s="2"/>
      <c r="L143" s="32"/>
      <c r="O143" s="9"/>
    </row>
    <row r="144" spans="1:15" ht="16.5" customHeight="1">
      <c r="B144" s="23"/>
      <c r="C144" s="22"/>
      <c r="H144" s="6"/>
      <c r="I144" s="6"/>
      <c r="K144" s="2"/>
      <c r="L144" s="32"/>
      <c r="O144" s="9"/>
    </row>
    <row r="145" spans="2:15" ht="16.5" customHeight="1">
      <c r="B145" s="23"/>
      <c r="C145" s="22"/>
      <c r="H145" s="6"/>
      <c r="I145" s="6"/>
      <c r="K145" s="2"/>
      <c r="L145" s="32"/>
      <c r="O145" s="9"/>
    </row>
    <row r="146" spans="2:15" ht="16.5" customHeight="1">
      <c r="B146" s="23"/>
      <c r="C146" s="22"/>
      <c r="H146" s="6"/>
      <c r="I146" s="6"/>
      <c r="K146" s="2"/>
      <c r="L146" s="32"/>
      <c r="O146" s="9"/>
    </row>
    <row r="147" spans="2:15" ht="16.5" customHeight="1">
      <c r="B147" s="23"/>
      <c r="C147" s="22"/>
      <c r="H147" s="6"/>
      <c r="I147" s="6"/>
      <c r="K147" s="2"/>
      <c r="L147" s="32"/>
      <c r="O147" s="9"/>
    </row>
    <row r="148" spans="2:15" ht="16.5" customHeight="1">
      <c r="B148" s="23"/>
      <c r="C148" s="22"/>
      <c r="H148" s="6"/>
      <c r="I148" s="6"/>
      <c r="K148" s="2"/>
      <c r="L148" s="32"/>
      <c r="O148" s="9"/>
    </row>
    <row r="149" spans="2:15" ht="16.5" customHeight="1">
      <c r="B149" s="23"/>
      <c r="C149" s="22"/>
      <c r="H149" s="6"/>
      <c r="I149" s="6"/>
      <c r="K149" s="2"/>
      <c r="L149" s="32"/>
      <c r="O149" s="9"/>
    </row>
    <row r="150" spans="2:15" ht="16.5" customHeight="1">
      <c r="B150" s="23"/>
      <c r="C150" s="22"/>
      <c r="H150" s="6"/>
      <c r="I150" s="6"/>
      <c r="K150" s="2"/>
      <c r="L150" s="32"/>
      <c r="O150" s="9"/>
    </row>
    <row r="151" spans="2:15" ht="16.5" customHeight="1">
      <c r="B151" s="23"/>
      <c r="C151" s="22"/>
      <c r="H151" s="6"/>
      <c r="I151" s="6"/>
      <c r="K151" s="2"/>
      <c r="L151" s="32"/>
      <c r="O151" s="9"/>
    </row>
    <row r="152" spans="2:15" ht="16.5" customHeight="1">
      <c r="B152" s="23"/>
      <c r="C152" s="22"/>
      <c r="H152" s="6"/>
      <c r="I152" s="6"/>
      <c r="K152" s="2"/>
      <c r="L152" s="32"/>
      <c r="O152" s="9"/>
    </row>
    <row r="153" spans="2:15" ht="16.5" customHeight="1">
      <c r="B153" s="23"/>
      <c r="C153" s="22"/>
      <c r="H153" s="6"/>
      <c r="I153" s="6"/>
      <c r="K153" s="2"/>
      <c r="L153" s="32"/>
      <c r="O153" s="9"/>
    </row>
    <row r="154" spans="2:15" ht="16.5" customHeight="1">
      <c r="B154" s="23"/>
      <c r="C154" s="22"/>
      <c r="H154" s="6"/>
      <c r="I154" s="6"/>
      <c r="K154" s="2"/>
      <c r="L154" s="32"/>
      <c r="O154" s="9"/>
    </row>
    <row r="155" spans="2:15" ht="16.5" customHeight="1">
      <c r="B155" s="23"/>
      <c r="C155" s="22"/>
      <c r="H155" s="6"/>
      <c r="I155" s="6"/>
      <c r="K155" s="2"/>
      <c r="L155" s="32"/>
      <c r="O155" s="9"/>
    </row>
    <row r="156" spans="2:15" ht="16.5" customHeight="1">
      <c r="B156" s="23"/>
      <c r="C156" s="22"/>
      <c r="H156" s="6"/>
      <c r="I156" s="6"/>
      <c r="K156" s="2"/>
      <c r="L156" s="32"/>
      <c r="O156" s="9"/>
    </row>
    <row r="157" spans="2:15" ht="16.5" customHeight="1">
      <c r="B157" s="23"/>
      <c r="C157" s="22"/>
      <c r="H157" s="6"/>
      <c r="I157" s="6"/>
      <c r="K157" s="2"/>
      <c r="L157" s="32"/>
      <c r="O157" s="9"/>
    </row>
    <row r="158" spans="2:15" ht="16.5" customHeight="1">
      <c r="B158" s="23"/>
      <c r="C158" s="22"/>
      <c r="H158" s="6"/>
      <c r="I158" s="6"/>
      <c r="K158" s="2"/>
      <c r="L158" s="32"/>
      <c r="O158" s="9"/>
    </row>
    <row r="159" spans="2:15" ht="16.5" customHeight="1">
      <c r="B159" s="23"/>
      <c r="C159" s="22"/>
      <c r="H159" s="6"/>
      <c r="I159" s="6"/>
      <c r="K159" s="2"/>
      <c r="L159" s="32"/>
      <c r="O159" s="9"/>
    </row>
    <row r="160" spans="2:15" ht="16.5" customHeight="1">
      <c r="B160" s="23"/>
      <c r="C160" s="22"/>
      <c r="H160" s="6"/>
      <c r="I160" s="6"/>
      <c r="K160" s="2"/>
      <c r="L160" s="32"/>
      <c r="O160" s="9"/>
    </row>
    <row r="161" spans="2:15" ht="16.5" customHeight="1">
      <c r="B161" s="23"/>
      <c r="C161" s="22"/>
      <c r="H161" s="6"/>
      <c r="I161" s="6"/>
      <c r="K161" s="2"/>
      <c r="L161" s="32"/>
      <c r="O161" s="9"/>
    </row>
    <row r="162" spans="2:15" ht="16.5" customHeight="1">
      <c r="B162" s="23"/>
      <c r="C162" s="22"/>
      <c r="H162" s="6"/>
      <c r="I162" s="6"/>
      <c r="K162" s="2"/>
      <c r="L162" s="32"/>
      <c r="O162" s="9"/>
    </row>
    <row r="163" spans="2:15" ht="16.5" customHeight="1">
      <c r="B163" s="23"/>
      <c r="C163" s="22"/>
      <c r="H163" s="6"/>
      <c r="I163" s="6"/>
      <c r="K163" s="2"/>
      <c r="L163" s="32"/>
      <c r="O163" s="9"/>
    </row>
    <row r="164" spans="2:15" ht="16.5" customHeight="1">
      <c r="B164" s="23"/>
      <c r="C164" s="22"/>
      <c r="H164" s="6"/>
      <c r="I164" s="6"/>
      <c r="K164" s="2"/>
      <c r="L164" s="32"/>
      <c r="O164" s="9"/>
    </row>
    <row r="165" spans="2:15" ht="16.5" customHeight="1">
      <c r="B165" s="23"/>
      <c r="C165" s="22"/>
      <c r="H165" s="6"/>
      <c r="I165" s="6"/>
      <c r="K165" s="2"/>
      <c r="L165" s="32"/>
      <c r="O165" s="9"/>
    </row>
    <row r="166" spans="2:15" ht="16.5" customHeight="1">
      <c r="B166" s="23"/>
      <c r="C166" s="22"/>
      <c r="H166" s="6"/>
      <c r="I166" s="6"/>
      <c r="K166" s="2"/>
      <c r="L166" s="32"/>
      <c r="O166" s="9"/>
    </row>
    <row r="167" spans="2:15" ht="16.5" customHeight="1">
      <c r="B167" s="23"/>
      <c r="C167" s="22"/>
      <c r="H167" s="6"/>
      <c r="I167" s="6"/>
      <c r="K167" s="2"/>
      <c r="L167" s="32"/>
      <c r="O167" s="9"/>
    </row>
    <row r="168" spans="2:15" ht="16.5" customHeight="1">
      <c r="B168" s="23"/>
      <c r="C168" s="22"/>
      <c r="H168" s="6"/>
      <c r="I168" s="6"/>
      <c r="K168" s="2"/>
      <c r="L168" s="32"/>
      <c r="O168" s="9"/>
    </row>
    <row r="169" spans="2:15" ht="16.5" customHeight="1">
      <c r="B169" s="23"/>
      <c r="C169" s="22"/>
      <c r="H169" s="6"/>
      <c r="I169" s="6"/>
      <c r="K169" s="2"/>
      <c r="L169" s="32"/>
      <c r="O169" s="9"/>
    </row>
    <row r="170" spans="2:15" ht="16.5" customHeight="1">
      <c r="B170" s="23"/>
      <c r="C170" s="22"/>
      <c r="H170" s="6"/>
      <c r="I170" s="6"/>
      <c r="K170" s="2"/>
      <c r="L170" s="32"/>
      <c r="O170" s="9"/>
    </row>
    <row r="171" spans="2:15" ht="16.5" customHeight="1">
      <c r="B171" s="23"/>
      <c r="C171" s="22"/>
      <c r="H171" s="6"/>
      <c r="I171" s="6"/>
      <c r="K171" s="2"/>
      <c r="L171" s="32"/>
      <c r="O171" s="9"/>
    </row>
    <row r="172" spans="2:15" ht="16.5" customHeight="1">
      <c r="B172" s="23"/>
      <c r="C172" s="22"/>
      <c r="H172" s="6"/>
      <c r="I172" s="6"/>
      <c r="K172" s="2"/>
      <c r="L172" s="32"/>
      <c r="O172" s="9"/>
    </row>
    <row r="173" spans="2:15" ht="16.5" customHeight="1">
      <c r="B173" s="23"/>
      <c r="C173" s="22"/>
      <c r="H173" s="6"/>
      <c r="I173" s="6"/>
      <c r="K173" s="2"/>
      <c r="L173" s="32"/>
      <c r="O173" s="9"/>
    </row>
    <row r="174" spans="2:15" ht="16.5" customHeight="1">
      <c r="B174" s="23"/>
      <c r="C174" s="22"/>
      <c r="H174" s="6"/>
      <c r="I174" s="6"/>
      <c r="K174" s="2"/>
      <c r="L174" s="32"/>
      <c r="O174" s="9"/>
    </row>
    <row r="175" spans="2:15" ht="16.5" customHeight="1">
      <c r="B175" s="23"/>
      <c r="C175" s="22"/>
      <c r="H175" s="6"/>
      <c r="I175" s="6"/>
      <c r="K175" s="2"/>
      <c r="L175" s="32"/>
      <c r="O175" s="9"/>
    </row>
    <row r="176" spans="2:15" ht="16.5" customHeight="1">
      <c r="B176" s="23"/>
      <c r="C176" s="22"/>
      <c r="H176" s="6"/>
      <c r="I176" s="6"/>
      <c r="K176" s="2"/>
      <c r="L176" s="32"/>
      <c r="O176" s="9"/>
    </row>
    <row r="177" spans="2:15" ht="16.5" customHeight="1">
      <c r="B177" s="23"/>
      <c r="C177" s="22"/>
      <c r="H177" s="6"/>
      <c r="I177" s="6"/>
      <c r="K177" s="2"/>
      <c r="L177" s="32"/>
      <c r="O177" s="9"/>
    </row>
    <row r="178" spans="2:15" ht="16.5" customHeight="1">
      <c r="B178" s="23"/>
      <c r="C178" s="22"/>
      <c r="H178" s="6"/>
      <c r="I178" s="6"/>
      <c r="K178" s="2"/>
      <c r="L178" s="32"/>
      <c r="O178" s="9"/>
    </row>
    <row r="179" spans="2:15" ht="16.5" customHeight="1">
      <c r="B179" s="23"/>
      <c r="C179" s="22"/>
      <c r="H179" s="6"/>
      <c r="I179" s="6"/>
      <c r="K179" s="2"/>
      <c r="L179" s="32"/>
      <c r="O179" s="9"/>
    </row>
    <row r="180" spans="2:15" ht="16.5" customHeight="1">
      <c r="B180" s="23"/>
      <c r="C180" s="22"/>
      <c r="H180" s="6"/>
      <c r="I180" s="6"/>
      <c r="K180" s="2"/>
      <c r="L180" s="32"/>
      <c r="O180" s="9"/>
    </row>
    <row r="181" spans="2:15" ht="16.5" customHeight="1">
      <c r="B181" s="23"/>
      <c r="C181" s="22"/>
      <c r="H181" s="6"/>
      <c r="I181" s="6"/>
      <c r="K181" s="2"/>
      <c r="L181" s="32"/>
      <c r="O181" s="9"/>
    </row>
    <row r="182" spans="2:15" ht="16.5" customHeight="1">
      <c r="B182" s="23"/>
      <c r="C182" s="22"/>
      <c r="H182" s="6"/>
      <c r="I182" s="6"/>
      <c r="K182" s="2"/>
      <c r="L182" s="32"/>
      <c r="O182" s="9"/>
    </row>
    <row r="183" spans="2:15" ht="16.5" customHeight="1">
      <c r="B183" s="23"/>
      <c r="C183" s="22"/>
      <c r="H183" s="6"/>
      <c r="I183" s="6"/>
      <c r="K183" s="2"/>
      <c r="L183" s="32"/>
      <c r="O183" s="9"/>
    </row>
    <row r="184" spans="2:15" ht="16.5" customHeight="1">
      <c r="B184" s="23"/>
      <c r="C184" s="22"/>
      <c r="H184" s="6"/>
      <c r="I184" s="6"/>
      <c r="K184" s="2"/>
      <c r="L184" s="32"/>
      <c r="O184" s="9"/>
    </row>
    <row r="185" spans="2:15" ht="16.5" customHeight="1">
      <c r="B185" s="23"/>
      <c r="C185" s="22"/>
      <c r="H185" s="6"/>
      <c r="I185" s="6"/>
      <c r="K185" s="2"/>
      <c r="L185" s="32"/>
      <c r="O185" s="9"/>
    </row>
    <row r="186" spans="2:15" ht="16.5" customHeight="1">
      <c r="B186" s="23"/>
      <c r="C186" s="22"/>
      <c r="H186" s="6"/>
      <c r="I186" s="6"/>
      <c r="K186" s="2"/>
      <c r="L186" s="32"/>
      <c r="O186" s="9"/>
    </row>
    <row r="187" spans="2:15" ht="16.5" customHeight="1">
      <c r="B187" s="23"/>
      <c r="C187" s="22"/>
      <c r="H187" s="6"/>
      <c r="I187" s="6"/>
      <c r="K187" s="2"/>
      <c r="L187" s="32"/>
      <c r="O187" s="9"/>
    </row>
    <row r="188" spans="2:15" ht="16.5" customHeight="1">
      <c r="B188" s="23"/>
      <c r="C188" s="22"/>
      <c r="H188" s="6"/>
      <c r="I188" s="6"/>
      <c r="K188" s="2"/>
      <c r="L188" s="32"/>
      <c r="O188" s="9"/>
    </row>
    <row r="189" spans="2:15" ht="16.5" customHeight="1">
      <c r="B189" s="23"/>
      <c r="C189" s="22"/>
      <c r="H189" s="6"/>
      <c r="I189" s="6"/>
      <c r="K189" s="2"/>
      <c r="L189" s="32"/>
      <c r="O189" s="9"/>
    </row>
    <row r="190" spans="2:15" ht="16.5" customHeight="1">
      <c r="B190" s="23"/>
      <c r="C190" s="22"/>
      <c r="H190" s="6"/>
      <c r="I190" s="6"/>
      <c r="K190" s="2"/>
      <c r="L190" s="32"/>
      <c r="O190" s="9"/>
    </row>
    <row r="191" spans="2:15" ht="16.5" customHeight="1">
      <c r="B191" s="23"/>
      <c r="C191" s="22"/>
      <c r="H191" s="6"/>
      <c r="I191" s="6"/>
      <c r="K191" s="2"/>
      <c r="L191" s="32"/>
      <c r="O191" s="9"/>
    </row>
    <row r="192" spans="2:15" ht="16.5" customHeight="1">
      <c r="B192" s="23"/>
      <c r="C192" s="22"/>
      <c r="H192" s="6"/>
      <c r="I192" s="6"/>
      <c r="K192" s="2"/>
      <c r="L192" s="32"/>
      <c r="O192" s="9"/>
    </row>
    <row r="193" spans="2:15" ht="16.5" customHeight="1">
      <c r="B193" s="23"/>
      <c r="C193" s="22"/>
      <c r="H193" s="6"/>
      <c r="I193" s="6"/>
      <c r="K193" s="2"/>
      <c r="L193" s="32"/>
      <c r="O193" s="9"/>
    </row>
    <row r="194" spans="2:15" ht="16.5" customHeight="1">
      <c r="B194" s="23"/>
      <c r="C194" s="22"/>
      <c r="H194" s="6"/>
      <c r="I194" s="6"/>
      <c r="K194" s="2"/>
      <c r="L194" s="32"/>
      <c r="O194" s="32"/>
    </row>
    <row r="195" spans="2:15" ht="16.5" customHeight="1">
      <c r="B195" s="23"/>
      <c r="C195" s="22"/>
      <c r="H195" s="6"/>
      <c r="I195" s="6"/>
      <c r="K195" s="2"/>
      <c r="L195" s="32"/>
      <c r="O195" s="32"/>
    </row>
    <row r="196" spans="2:15" ht="16.5" customHeight="1">
      <c r="B196" s="23"/>
      <c r="C196" s="22"/>
      <c r="H196" s="6"/>
      <c r="I196" s="6"/>
      <c r="K196" s="2"/>
      <c r="L196" s="32"/>
      <c r="O196" s="32"/>
    </row>
    <row r="197" spans="2:15" ht="16.5" customHeight="1">
      <c r="B197" s="23"/>
      <c r="C197" s="22"/>
      <c r="H197" s="6"/>
      <c r="I197" s="6"/>
      <c r="K197" s="2"/>
      <c r="L197" s="32"/>
      <c r="O197" s="32"/>
    </row>
    <row r="198" spans="2:15" ht="16.5" customHeight="1">
      <c r="B198" s="23"/>
      <c r="C198" s="22"/>
      <c r="H198" s="6"/>
      <c r="I198" s="6"/>
      <c r="K198" s="2"/>
      <c r="L198" s="32"/>
      <c r="O198" s="32"/>
    </row>
    <row r="199" spans="2:15" ht="16.5" customHeight="1">
      <c r="B199" s="23"/>
      <c r="C199" s="22"/>
      <c r="H199" s="6"/>
      <c r="I199" s="6"/>
      <c r="K199" s="2"/>
      <c r="L199" s="32"/>
      <c r="O199" s="32"/>
    </row>
    <row r="200" spans="2:15" ht="16.5" customHeight="1">
      <c r="B200" s="23"/>
      <c r="C200" s="22"/>
      <c r="H200" s="6"/>
      <c r="I200" s="6"/>
      <c r="K200" s="2"/>
      <c r="L200" s="32"/>
      <c r="O200" s="32"/>
    </row>
    <row r="201" spans="2:15" ht="16.5" customHeight="1">
      <c r="B201" s="23"/>
      <c r="C201" s="22"/>
      <c r="H201" s="6"/>
      <c r="I201" s="6"/>
      <c r="K201" s="2"/>
      <c r="L201" s="32"/>
      <c r="O201" s="32"/>
    </row>
    <row r="202" spans="2:15" ht="16.5" customHeight="1">
      <c r="B202" s="23"/>
      <c r="C202" s="22"/>
      <c r="H202" s="6"/>
      <c r="I202" s="6"/>
      <c r="K202" s="2"/>
      <c r="L202" s="32"/>
      <c r="O202" s="32"/>
    </row>
    <row r="203" spans="2:15" ht="16.5" customHeight="1">
      <c r="B203" s="23"/>
      <c r="C203" s="22"/>
      <c r="H203" s="6"/>
      <c r="I203" s="6"/>
      <c r="K203" s="2"/>
      <c r="L203" s="32"/>
      <c r="O203" s="32"/>
    </row>
    <row r="204" spans="2:15" ht="16.5" customHeight="1">
      <c r="B204" s="23"/>
      <c r="C204" s="22"/>
      <c r="H204" s="6"/>
      <c r="I204" s="6"/>
      <c r="K204" s="2"/>
      <c r="L204" s="32"/>
      <c r="O204" s="32"/>
    </row>
    <row r="205" spans="2:15" ht="16.5" customHeight="1">
      <c r="B205" s="23"/>
      <c r="C205" s="22"/>
      <c r="H205" s="6"/>
      <c r="I205" s="6"/>
      <c r="K205" s="2"/>
      <c r="L205" s="32"/>
      <c r="O205" s="32"/>
    </row>
    <row r="206" spans="2:15" ht="16.5" customHeight="1">
      <c r="B206" s="23"/>
      <c r="C206" s="22"/>
      <c r="H206" s="6"/>
      <c r="I206" s="6"/>
      <c r="K206" s="2"/>
      <c r="L206" s="32"/>
      <c r="O206" s="32"/>
    </row>
    <row r="207" spans="2:15" ht="16.5" customHeight="1">
      <c r="B207" s="23"/>
      <c r="C207" s="22"/>
      <c r="H207" s="6"/>
      <c r="I207" s="6"/>
      <c r="K207" s="2"/>
      <c r="L207" s="32"/>
      <c r="O207" s="32"/>
    </row>
    <row r="208" spans="2:15" ht="16.5" customHeight="1">
      <c r="B208" s="23"/>
      <c r="C208" s="22"/>
      <c r="H208" s="6"/>
      <c r="I208" s="6"/>
      <c r="K208" s="2"/>
      <c r="L208" s="32"/>
      <c r="O208" s="32"/>
    </row>
    <row r="209" spans="2:15" ht="16.5" customHeight="1">
      <c r="B209" s="23"/>
      <c r="C209" s="22"/>
      <c r="H209" s="6"/>
      <c r="I209" s="6"/>
      <c r="K209" s="2"/>
      <c r="L209" s="32"/>
      <c r="O209" s="32"/>
    </row>
    <row r="210" spans="2:15" ht="16.5" customHeight="1">
      <c r="B210" s="23"/>
      <c r="C210" s="22"/>
      <c r="H210" s="6"/>
      <c r="I210" s="6"/>
      <c r="K210" s="2"/>
      <c r="L210" s="32"/>
      <c r="O210" s="32"/>
    </row>
    <row r="211" spans="2:15" ht="16.5" customHeight="1">
      <c r="B211" s="23"/>
      <c r="C211" s="22"/>
      <c r="H211" s="6"/>
      <c r="I211" s="6"/>
      <c r="K211" s="2"/>
      <c r="L211" s="32"/>
      <c r="O211" s="32"/>
    </row>
    <row r="212" spans="2:15" ht="16.5" customHeight="1">
      <c r="B212" s="23"/>
      <c r="C212" s="22"/>
      <c r="H212" s="6"/>
      <c r="I212" s="6"/>
      <c r="K212" s="2"/>
      <c r="L212" s="32"/>
      <c r="O212" s="32"/>
    </row>
    <row r="213" spans="2:15" ht="16.5" customHeight="1">
      <c r="B213" s="23"/>
      <c r="C213" s="22"/>
      <c r="H213" s="6"/>
      <c r="I213" s="6"/>
      <c r="K213" s="2"/>
      <c r="L213" s="32"/>
      <c r="O213" s="32"/>
    </row>
    <row r="214" spans="2:15" ht="16.5" customHeight="1">
      <c r="B214" s="23"/>
      <c r="C214" s="22"/>
      <c r="H214" s="6"/>
      <c r="I214" s="6"/>
      <c r="K214" s="2"/>
      <c r="L214" s="32"/>
      <c r="O214" s="32"/>
    </row>
    <row r="215" spans="2:15" ht="16.5" customHeight="1">
      <c r="B215" s="23"/>
      <c r="C215" s="22"/>
      <c r="H215" s="6"/>
      <c r="I215" s="6"/>
      <c r="K215" s="2"/>
      <c r="L215" s="32"/>
      <c r="O215" s="32"/>
    </row>
    <row r="216" spans="2:15" ht="16.5" customHeight="1">
      <c r="B216" s="23"/>
      <c r="C216" s="22"/>
      <c r="H216" s="6"/>
      <c r="I216" s="6"/>
      <c r="K216" s="2"/>
      <c r="L216" s="32"/>
      <c r="O216" s="32"/>
    </row>
    <row r="217" spans="2:15" ht="16.5" customHeight="1">
      <c r="B217" s="23"/>
      <c r="C217" s="22"/>
      <c r="H217" s="6"/>
      <c r="I217" s="6"/>
      <c r="K217" s="2"/>
      <c r="L217" s="32"/>
      <c r="O217" s="32"/>
    </row>
    <row r="218" spans="2:15" ht="16.5" customHeight="1">
      <c r="B218" s="23"/>
      <c r="C218" s="22"/>
      <c r="H218" s="6"/>
      <c r="I218" s="6"/>
      <c r="K218" s="2"/>
      <c r="L218" s="32"/>
      <c r="O218" s="32"/>
    </row>
    <row r="219" spans="2:15" ht="16.5" customHeight="1">
      <c r="B219" s="23"/>
      <c r="C219" s="22"/>
      <c r="H219" s="6"/>
      <c r="I219" s="6"/>
      <c r="K219" s="2"/>
      <c r="L219" s="32"/>
      <c r="O219" s="32"/>
    </row>
    <row r="220" spans="2:15" ht="16.5" customHeight="1">
      <c r="B220" s="23"/>
      <c r="C220" s="22"/>
      <c r="H220" s="6"/>
      <c r="I220" s="6"/>
      <c r="K220" s="2"/>
      <c r="L220" s="32"/>
      <c r="O220" s="32"/>
    </row>
    <row r="221" spans="2:15" ht="16.5" customHeight="1">
      <c r="B221" s="23"/>
      <c r="C221" s="22"/>
      <c r="H221" s="6"/>
      <c r="I221" s="6"/>
      <c r="K221" s="2"/>
      <c r="L221" s="32"/>
      <c r="O221" s="32"/>
    </row>
    <row r="222" spans="2:15" ht="16.5" customHeight="1">
      <c r="B222" s="23"/>
      <c r="C222" s="22"/>
      <c r="H222" s="6"/>
      <c r="I222" s="6"/>
      <c r="K222" s="2"/>
      <c r="L222" s="32"/>
      <c r="O222" s="32"/>
    </row>
    <row r="223" spans="2:15" ht="16.5" customHeight="1">
      <c r="B223" s="23"/>
      <c r="C223" s="22"/>
      <c r="H223" s="6"/>
      <c r="I223" s="6"/>
      <c r="K223" s="2"/>
      <c r="L223" s="32"/>
      <c r="O223" s="32"/>
    </row>
    <row r="224" spans="2:15" ht="16.5" customHeight="1">
      <c r="B224" s="23"/>
      <c r="C224" s="22"/>
      <c r="H224" s="6"/>
      <c r="I224" s="6"/>
      <c r="K224" s="2"/>
      <c r="L224" s="32"/>
      <c r="O224" s="32"/>
    </row>
    <row r="225" spans="2:15" ht="16.5" customHeight="1">
      <c r="B225" s="23"/>
      <c r="C225" s="22"/>
      <c r="H225" s="6"/>
      <c r="I225" s="6"/>
      <c r="K225" s="2"/>
      <c r="L225" s="32"/>
      <c r="O225" s="32"/>
    </row>
    <row r="226" spans="2:15" ht="16.5" customHeight="1">
      <c r="B226" s="23"/>
      <c r="C226" s="22"/>
      <c r="H226" s="6"/>
      <c r="I226" s="6"/>
      <c r="K226" s="2"/>
      <c r="L226" s="32"/>
      <c r="O226" s="32"/>
    </row>
    <row r="227" spans="2:15" ht="16.5" customHeight="1">
      <c r="B227" s="23"/>
      <c r="C227" s="22"/>
      <c r="H227" s="6"/>
      <c r="I227" s="6"/>
      <c r="K227" s="2"/>
      <c r="L227" s="32"/>
      <c r="O227" s="32"/>
    </row>
    <row r="228" spans="2:15" ht="16.5" customHeight="1">
      <c r="B228" s="23"/>
      <c r="C228" s="22"/>
      <c r="H228" s="6"/>
      <c r="I228" s="6"/>
      <c r="K228" s="2"/>
      <c r="L228" s="32"/>
      <c r="O228" s="32"/>
    </row>
    <row r="229" spans="2:15" ht="16.5" customHeight="1">
      <c r="B229" s="23"/>
      <c r="C229" s="22"/>
      <c r="H229" s="6"/>
      <c r="I229" s="6"/>
      <c r="K229" s="2"/>
      <c r="L229" s="32"/>
      <c r="O229" s="32"/>
    </row>
    <row r="230" spans="2:15" ht="16.5" customHeight="1">
      <c r="B230" s="23"/>
      <c r="C230" s="22"/>
      <c r="H230" s="6"/>
      <c r="I230" s="6"/>
      <c r="K230" s="2"/>
      <c r="L230" s="32"/>
      <c r="O230" s="32"/>
    </row>
    <row r="231" spans="2:15" ht="16.5" customHeight="1">
      <c r="B231" s="23"/>
      <c r="C231" s="22"/>
      <c r="H231" s="6"/>
      <c r="I231" s="6"/>
      <c r="K231" s="2"/>
      <c r="L231" s="32"/>
      <c r="O231" s="32"/>
    </row>
    <row r="232" spans="2:15" ht="16.5" customHeight="1">
      <c r="B232" s="23"/>
      <c r="C232" s="22"/>
      <c r="H232" s="6"/>
      <c r="I232" s="6"/>
      <c r="K232" s="2"/>
      <c r="L232" s="32"/>
      <c r="O232" s="32"/>
    </row>
    <row r="233" spans="2:15" ht="16.5" customHeight="1">
      <c r="B233" s="23"/>
      <c r="C233" s="22"/>
      <c r="H233" s="6"/>
      <c r="I233" s="6"/>
      <c r="K233" s="2"/>
      <c r="L233" s="32"/>
      <c r="O233" s="32"/>
    </row>
    <row r="234" spans="2:15" ht="16.5" customHeight="1">
      <c r="B234" s="23"/>
      <c r="C234" s="22"/>
      <c r="H234" s="6"/>
      <c r="I234" s="6"/>
      <c r="K234" s="2"/>
      <c r="L234" s="32"/>
      <c r="O234" s="32"/>
    </row>
    <row r="235" spans="2:15" ht="16.5" customHeight="1">
      <c r="B235" s="23"/>
      <c r="C235" s="22"/>
      <c r="H235" s="6"/>
      <c r="I235" s="6"/>
      <c r="K235" s="2"/>
      <c r="L235" s="32"/>
      <c r="O235" s="32"/>
    </row>
    <row r="236" spans="2:15" ht="16.5" customHeight="1">
      <c r="B236" s="23"/>
      <c r="C236" s="22"/>
      <c r="H236" s="6"/>
      <c r="I236" s="6"/>
      <c r="K236" s="2"/>
      <c r="L236" s="32"/>
      <c r="O236" s="32"/>
    </row>
    <row r="237" spans="2:15" ht="16.5" customHeight="1">
      <c r="B237" s="23"/>
      <c r="C237" s="22"/>
      <c r="H237" s="6"/>
      <c r="I237" s="6"/>
      <c r="K237" s="2"/>
      <c r="L237" s="32"/>
      <c r="O237" s="32"/>
    </row>
    <row r="238" spans="2:15" ht="16.5" customHeight="1">
      <c r="B238" s="23"/>
      <c r="C238" s="22"/>
      <c r="H238" s="6"/>
      <c r="I238" s="6"/>
      <c r="K238" s="2"/>
      <c r="L238" s="32"/>
      <c r="O238" s="32"/>
    </row>
    <row r="239" spans="2:15" ht="16.5" customHeight="1">
      <c r="B239" s="23"/>
      <c r="C239" s="22"/>
      <c r="H239" s="6"/>
      <c r="I239" s="6"/>
      <c r="K239" s="2"/>
      <c r="L239" s="32"/>
      <c r="O239" s="32"/>
    </row>
    <row r="240" spans="2:15" ht="16.5" customHeight="1">
      <c r="B240" s="23"/>
      <c r="C240" s="22"/>
      <c r="H240" s="6"/>
      <c r="I240" s="6"/>
      <c r="K240" s="2"/>
      <c r="L240" s="32"/>
      <c r="O240" s="32"/>
    </row>
    <row r="241" spans="2:15" ht="16.5" customHeight="1">
      <c r="B241" s="23"/>
      <c r="C241" s="22"/>
      <c r="H241" s="6"/>
      <c r="I241" s="6"/>
      <c r="K241" s="2"/>
      <c r="L241" s="32"/>
      <c r="O241" s="32"/>
    </row>
    <row r="242" spans="2:15" ht="16.5" customHeight="1">
      <c r="B242" s="23"/>
      <c r="C242" s="22"/>
      <c r="H242" s="6"/>
      <c r="I242" s="6"/>
      <c r="K242" s="2"/>
      <c r="L242" s="32"/>
      <c r="O242" s="32"/>
    </row>
    <row r="243" spans="2:15" ht="16.5" customHeight="1">
      <c r="B243" s="23"/>
      <c r="C243" s="22"/>
      <c r="H243" s="6"/>
      <c r="I243" s="6"/>
      <c r="K243" s="2"/>
      <c r="L243" s="32"/>
      <c r="O243" s="32"/>
    </row>
    <row r="244" spans="2:15" ht="16.5" customHeight="1">
      <c r="B244" s="23"/>
      <c r="C244" s="22"/>
      <c r="H244" s="6"/>
      <c r="I244" s="6"/>
      <c r="K244" s="2"/>
      <c r="L244" s="32"/>
      <c r="O244" s="32"/>
    </row>
    <row r="245" spans="2:15" ht="16.5" customHeight="1">
      <c r="B245" s="23"/>
      <c r="C245" s="22"/>
      <c r="H245" s="6"/>
      <c r="I245" s="6"/>
      <c r="K245" s="2"/>
      <c r="L245" s="32"/>
      <c r="O245" s="32"/>
    </row>
    <row r="246" spans="2:15" ht="16.5" customHeight="1">
      <c r="B246" s="23"/>
      <c r="C246" s="22"/>
      <c r="H246" s="6"/>
      <c r="I246" s="6"/>
      <c r="K246" s="2"/>
      <c r="L246" s="32"/>
      <c r="O246" s="32"/>
    </row>
    <row r="247" spans="2:15" ht="16.5" customHeight="1">
      <c r="B247" s="23"/>
      <c r="C247" s="22"/>
      <c r="H247" s="6"/>
      <c r="I247" s="6"/>
      <c r="K247" s="2"/>
      <c r="L247" s="32"/>
      <c r="O247" s="32"/>
    </row>
    <row r="248" spans="2:15" ht="16.5" customHeight="1">
      <c r="B248" s="23"/>
      <c r="C248" s="22"/>
      <c r="H248" s="6"/>
      <c r="I248" s="6"/>
      <c r="K248" s="2"/>
      <c r="L248" s="32"/>
      <c r="O248" s="32"/>
    </row>
    <row r="249" spans="2:15" ht="16.5" customHeight="1">
      <c r="B249" s="23"/>
      <c r="C249" s="22"/>
      <c r="H249" s="6"/>
      <c r="I249" s="6"/>
      <c r="K249" s="2"/>
      <c r="L249" s="32"/>
      <c r="O249" s="32"/>
    </row>
    <row r="250" spans="2:15" ht="16.5" customHeight="1">
      <c r="B250" s="23"/>
      <c r="C250" s="22"/>
      <c r="H250" s="6"/>
      <c r="I250" s="6"/>
      <c r="K250" s="2"/>
      <c r="L250" s="32"/>
      <c r="O250" s="32"/>
    </row>
    <row r="251" spans="2:15" ht="16.5" customHeight="1">
      <c r="B251" s="23"/>
      <c r="C251" s="22"/>
      <c r="H251" s="6"/>
      <c r="I251" s="6"/>
      <c r="K251" s="2"/>
      <c r="L251" s="32"/>
      <c r="O251" s="32"/>
    </row>
    <row r="252" spans="2:15" ht="16.5" customHeight="1">
      <c r="B252" s="23"/>
      <c r="C252" s="22"/>
      <c r="H252" s="6"/>
      <c r="I252" s="6"/>
      <c r="K252" s="2"/>
      <c r="L252" s="32"/>
      <c r="O252" s="32"/>
    </row>
    <row r="253" spans="2:15" ht="16.5" customHeight="1">
      <c r="B253" s="23"/>
      <c r="C253" s="22"/>
      <c r="H253" s="6"/>
      <c r="I253" s="6"/>
      <c r="K253" s="2"/>
      <c r="L253" s="32"/>
      <c r="O253" s="32"/>
    </row>
    <row r="254" spans="2:15" ht="16.5" customHeight="1">
      <c r="B254" s="23"/>
      <c r="C254" s="22"/>
      <c r="H254" s="6"/>
      <c r="I254" s="6"/>
      <c r="K254" s="2"/>
      <c r="L254" s="32"/>
      <c r="O254" s="32"/>
    </row>
    <row r="255" spans="2:15" ht="16.5" customHeight="1">
      <c r="B255" s="23"/>
      <c r="C255" s="22"/>
      <c r="H255" s="6"/>
      <c r="I255" s="6"/>
      <c r="K255" s="2"/>
      <c r="L255" s="32"/>
      <c r="O255" s="32"/>
    </row>
    <row r="256" spans="2:15" ht="16.5" customHeight="1">
      <c r="B256" s="23"/>
      <c r="C256" s="22"/>
      <c r="H256" s="6"/>
      <c r="I256" s="6"/>
      <c r="K256" s="2"/>
      <c r="L256" s="32"/>
      <c r="O256" s="32"/>
    </row>
    <row r="257" spans="2:15" ht="16.5" customHeight="1">
      <c r="B257" s="23"/>
      <c r="C257" s="22"/>
      <c r="H257" s="6"/>
      <c r="I257" s="6"/>
      <c r="K257" s="2"/>
      <c r="L257" s="32"/>
      <c r="O257" s="32"/>
    </row>
    <row r="258" spans="2:15" ht="16.5" customHeight="1">
      <c r="B258" s="23"/>
      <c r="C258" s="22"/>
      <c r="H258" s="6"/>
      <c r="I258" s="6"/>
      <c r="K258" s="2"/>
      <c r="L258" s="32"/>
      <c r="O258" s="32"/>
    </row>
    <row r="259" spans="2:15" ht="16.5" customHeight="1">
      <c r="B259" s="23"/>
      <c r="C259" s="22"/>
      <c r="H259" s="6"/>
      <c r="I259" s="6"/>
      <c r="K259" s="2"/>
      <c r="L259" s="32"/>
      <c r="O259" s="32"/>
    </row>
    <row r="260" spans="2:15" ht="16.5" customHeight="1">
      <c r="B260" s="23"/>
      <c r="C260" s="22"/>
      <c r="H260" s="6"/>
      <c r="I260" s="6"/>
      <c r="K260" s="2"/>
      <c r="L260" s="32"/>
      <c r="O260" s="32"/>
    </row>
    <row r="261" spans="2:15" ht="16.5" customHeight="1">
      <c r="B261" s="23"/>
      <c r="C261" s="22"/>
      <c r="H261" s="6"/>
      <c r="I261" s="6"/>
      <c r="K261" s="2"/>
      <c r="L261" s="32"/>
      <c r="O261" s="32"/>
    </row>
    <row r="262" spans="2:15" ht="16.5" customHeight="1">
      <c r="B262" s="23"/>
      <c r="C262" s="22"/>
      <c r="H262" s="6"/>
      <c r="I262" s="6"/>
      <c r="K262" s="2"/>
      <c r="L262" s="32"/>
      <c r="O262" s="32"/>
    </row>
    <row r="263" spans="2:15" ht="16.5" customHeight="1">
      <c r="B263" s="23"/>
      <c r="C263" s="22"/>
      <c r="H263" s="6"/>
      <c r="I263" s="6"/>
      <c r="K263" s="2"/>
      <c r="L263" s="32"/>
      <c r="O263" s="32"/>
    </row>
    <row r="264" spans="2:15" ht="16.5" customHeight="1">
      <c r="B264" s="23"/>
      <c r="C264" s="22"/>
      <c r="H264" s="6"/>
      <c r="I264" s="6"/>
      <c r="K264" s="2"/>
      <c r="L264" s="32"/>
      <c r="O264" s="32"/>
    </row>
    <row r="265" spans="2:15" ht="16.5" customHeight="1">
      <c r="B265" s="23"/>
      <c r="C265" s="22"/>
      <c r="H265" s="6"/>
      <c r="I265" s="6"/>
      <c r="K265" s="2"/>
      <c r="L265" s="32"/>
      <c r="O265" s="32"/>
    </row>
    <row r="266" spans="2:15" ht="16.5" customHeight="1">
      <c r="B266" s="23"/>
      <c r="C266" s="22"/>
      <c r="H266" s="6"/>
      <c r="I266" s="6"/>
      <c r="K266" s="2"/>
      <c r="L266" s="32"/>
      <c r="O266" s="32"/>
    </row>
    <row r="267" spans="2:15" ht="16.5" customHeight="1">
      <c r="B267" s="23"/>
      <c r="C267" s="22"/>
      <c r="H267" s="6"/>
      <c r="I267" s="6"/>
      <c r="K267" s="2"/>
      <c r="L267" s="32"/>
      <c r="O267" s="32"/>
    </row>
    <row r="268" spans="2:15">
      <c r="B268" s="23"/>
      <c r="C268" s="22"/>
      <c r="H268" s="6"/>
      <c r="I268" s="6"/>
      <c r="K268" s="2"/>
      <c r="L268" s="32"/>
      <c r="O268" s="32"/>
    </row>
    <row r="269" spans="2:15">
      <c r="B269" s="23"/>
      <c r="C269" s="22"/>
      <c r="H269" s="6"/>
      <c r="I269" s="6"/>
      <c r="K269" s="2"/>
      <c r="L269" s="32"/>
      <c r="O269" s="32"/>
    </row>
    <row r="270" spans="2:15">
      <c r="B270" s="23"/>
      <c r="C270" s="22"/>
      <c r="H270" s="6"/>
      <c r="I270" s="6"/>
      <c r="K270" s="2"/>
      <c r="L270" s="32"/>
      <c r="O270" s="32"/>
    </row>
    <row r="271" spans="2:15">
      <c r="B271" s="23"/>
      <c r="C271" s="22"/>
      <c r="H271" s="6"/>
      <c r="I271" s="6"/>
      <c r="K271" s="2"/>
      <c r="L271" s="32"/>
      <c r="O271" s="32"/>
    </row>
    <row r="272" spans="2:15">
      <c r="B272" s="23"/>
      <c r="C272" s="22"/>
      <c r="H272" s="6"/>
      <c r="I272" s="6"/>
      <c r="K272" s="2"/>
      <c r="L272" s="32"/>
      <c r="O272" s="32"/>
    </row>
    <row r="273" spans="2:15">
      <c r="B273" s="23"/>
      <c r="C273" s="22"/>
      <c r="H273" s="6"/>
      <c r="I273" s="6"/>
      <c r="K273" s="2"/>
      <c r="L273" s="32"/>
      <c r="O273" s="32"/>
    </row>
    <row r="274" spans="2:15">
      <c r="B274" s="23"/>
      <c r="C274" s="22"/>
      <c r="H274" s="6"/>
      <c r="I274" s="6"/>
      <c r="K274" s="2"/>
      <c r="L274" s="32"/>
      <c r="O274" s="32"/>
    </row>
    <row r="275" spans="2:15">
      <c r="B275" s="23"/>
      <c r="C275" s="22"/>
      <c r="H275" s="6"/>
      <c r="I275" s="6"/>
      <c r="K275" s="2"/>
      <c r="L275" s="32"/>
      <c r="O275" s="32"/>
    </row>
    <row r="276" spans="2:15">
      <c r="B276" s="23"/>
      <c r="C276" s="22"/>
      <c r="H276" s="6"/>
      <c r="I276" s="6"/>
      <c r="K276" s="2"/>
      <c r="L276" s="32"/>
      <c r="O276" s="32"/>
    </row>
    <row r="277" spans="2:15">
      <c r="B277" s="23"/>
      <c r="C277" s="22"/>
      <c r="H277" s="6"/>
      <c r="I277" s="6"/>
      <c r="K277" s="2"/>
      <c r="L277" s="32"/>
      <c r="O277" s="32"/>
    </row>
    <row r="278" spans="2:15">
      <c r="B278" s="23"/>
      <c r="C278" s="22"/>
      <c r="H278" s="6"/>
      <c r="I278" s="6"/>
      <c r="K278" s="2"/>
      <c r="L278" s="32"/>
      <c r="O278" s="32"/>
    </row>
    <row r="279" spans="2:15">
      <c r="B279" s="23"/>
      <c r="C279" s="22"/>
      <c r="H279" s="6"/>
      <c r="I279" s="6"/>
      <c r="K279" s="2"/>
      <c r="L279" s="32"/>
      <c r="O279" s="32"/>
    </row>
    <row r="280" spans="2:15">
      <c r="B280" s="23"/>
      <c r="C280" s="22"/>
      <c r="H280" s="6"/>
      <c r="I280" s="6"/>
      <c r="K280" s="2"/>
      <c r="L280" s="32"/>
      <c r="O280" s="32"/>
    </row>
    <row r="281" spans="2:15">
      <c r="B281" s="23"/>
      <c r="C281" s="22"/>
      <c r="H281" s="6"/>
      <c r="I281" s="6"/>
      <c r="K281" s="2"/>
      <c r="L281" s="32"/>
      <c r="O281" s="32"/>
    </row>
    <row r="282" spans="2:15">
      <c r="B282" s="23"/>
      <c r="C282" s="22"/>
      <c r="H282" s="6"/>
      <c r="I282" s="6"/>
      <c r="K282" s="2"/>
      <c r="L282" s="32"/>
      <c r="O282" s="32"/>
    </row>
    <row r="283" spans="2:15">
      <c r="B283" s="23"/>
      <c r="C283" s="22"/>
      <c r="H283" s="6"/>
      <c r="I283" s="6"/>
      <c r="K283" s="2"/>
      <c r="L283" s="32"/>
      <c r="O283" s="32"/>
    </row>
    <row r="284" spans="2:15">
      <c r="B284" s="23"/>
      <c r="C284" s="22"/>
      <c r="H284" s="6"/>
      <c r="I284" s="6"/>
      <c r="K284" s="2"/>
      <c r="L284" s="32"/>
      <c r="O284" s="32"/>
    </row>
    <row r="285" spans="2:15">
      <c r="B285" s="23"/>
      <c r="C285" s="22"/>
      <c r="H285" s="6"/>
      <c r="I285" s="6"/>
      <c r="K285" s="2"/>
      <c r="L285" s="32"/>
      <c r="O285" s="32"/>
    </row>
    <row r="286" spans="2:15">
      <c r="B286" s="23"/>
      <c r="C286" s="22"/>
      <c r="H286" s="6"/>
      <c r="I286" s="6"/>
      <c r="K286" s="2"/>
      <c r="L286" s="32"/>
      <c r="O286" s="32"/>
    </row>
    <row r="287" spans="2:15">
      <c r="B287" s="23"/>
      <c r="C287" s="22"/>
      <c r="H287" s="6"/>
      <c r="I287" s="6"/>
      <c r="K287" s="2"/>
      <c r="L287" s="32"/>
      <c r="O287" s="32"/>
    </row>
    <row r="288" spans="2:15">
      <c r="B288" s="23"/>
      <c r="C288" s="22"/>
      <c r="H288" s="6"/>
      <c r="I288" s="6"/>
      <c r="K288" s="2"/>
      <c r="L288" s="32"/>
      <c r="O288" s="32"/>
    </row>
    <row r="289" spans="2:15">
      <c r="B289" s="23"/>
      <c r="C289" s="22"/>
      <c r="H289" s="6"/>
      <c r="I289" s="6"/>
      <c r="K289" s="2"/>
      <c r="L289" s="32"/>
      <c r="O289" s="32"/>
    </row>
    <row r="290" spans="2:15">
      <c r="B290" s="23"/>
      <c r="C290" s="22"/>
      <c r="H290" s="6"/>
      <c r="I290" s="6"/>
      <c r="K290" s="2"/>
      <c r="L290" s="32"/>
      <c r="O290" s="32"/>
    </row>
    <row r="291" spans="2:15">
      <c r="B291" s="23"/>
      <c r="C291" s="22"/>
      <c r="H291" s="6"/>
      <c r="I291" s="6"/>
      <c r="K291" s="2"/>
      <c r="L291" s="32"/>
      <c r="O291" s="32"/>
    </row>
    <row r="292" spans="2:15">
      <c r="B292" s="23"/>
      <c r="C292" s="22"/>
      <c r="H292" s="6"/>
      <c r="I292" s="6"/>
      <c r="K292" s="2"/>
      <c r="L292" s="32"/>
      <c r="O292" s="32"/>
    </row>
    <row r="293" spans="2:15">
      <c r="B293" s="23"/>
      <c r="C293" s="22"/>
      <c r="H293" s="6"/>
      <c r="I293" s="6"/>
      <c r="K293" s="2"/>
      <c r="L293" s="32"/>
      <c r="O293" s="32"/>
    </row>
    <row r="294" spans="2:15">
      <c r="B294" s="23"/>
      <c r="C294" s="22"/>
      <c r="H294" s="6"/>
      <c r="I294" s="6"/>
      <c r="K294" s="2"/>
      <c r="L294" s="32"/>
      <c r="O294" s="32"/>
    </row>
    <row r="295" spans="2:15">
      <c r="B295" s="23"/>
      <c r="C295" s="22"/>
      <c r="H295" s="6"/>
      <c r="I295" s="6"/>
      <c r="K295" s="2"/>
      <c r="L295" s="32"/>
      <c r="O295" s="32"/>
    </row>
    <row r="296" spans="2:15">
      <c r="B296" s="23"/>
      <c r="C296" s="22"/>
      <c r="H296" s="6"/>
      <c r="I296" s="6"/>
      <c r="K296" s="2"/>
      <c r="L296" s="32"/>
      <c r="O296" s="32"/>
    </row>
    <row r="297" spans="2:15">
      <c r="B297" s="23"/>
      <c r="C297" s="22"/>
      <c r="H297" s="6"/>
      <c r="I297" s="6"/>
      <c r="K297" s="2"/>
      <c r="L297" s="32"/>
      <c r="O297" s="32"/>
    </row>
    <row r="298" spans="2:15">
      <c r="B298" s="23"/>
      <c r="C298" s="22"/>
      <c r="H298" s="6"/>
      <c r="I298" s="6"/>
      <c r="K298" s="2"/>
      <c r="L298" s="32"/>
      <c r="O298" s="32"/>
    </row>
    <row r="299" spans="2:15">
      <c r="B299" s="23"/>
      <c r="C299" s="22"/>
      <c r="H299" s="6"/>
      <c r="I299" s="6"/>
      <c r="K299" s="2"/>
      <c r="L299" s="32"/>
      <c r="O299" s="32"/>
    </row>
    <row r="300" spans="2:15">
      <c r="B300" s="23"/>
      <c r="C300" s="22"/>
      <c r="H300" s="6"/>
      <c r="I300" s="6"/>
      <c r="K300" s="2"/>
      <c r="L300" s="32"/>
      <c r="O300" s="32"/>
    </row>
    <row r="301" spans="2:15">
      <c r="B301" s="23"/>
      <c r="C301" s="22"/>
      <c r="H301" s="6"/>
      <c r="I301" s="6"/>
      <c r="K301" s="2"/>
      <c r="L301" s="32"/>
      <c r="O301" s="32"/>
    </row>
    <row r="302" spans="2:15">
      <c r="B302" s="23"/>
      <c r="C302" s="22"/>
      <c r="H302" s="6"/>
      <c r="I302" s="6"/>
      <c r="K302" s="2"/>
      <c r="L302" s="32"/>
      <c r="O302" s="32"/>
    </row>
    <row r="303" spans="2:15">
      <c r="B303" s="23"/>
      <c r="C303" s="22"/>
      <c r="H303" s="6"/>
      <c r="I303" s="6"/>
      <c r="K303" s="2"/>
      <c r="L303" s="32"/>
      <c r="O303" s="32"/>
    </row>
    <row r="304" spans="2:15">
      <c r="B304" s="23"/>
      <c r="C304" s="22"/>
      <c r="H304" s="6"/>
      <c r="I304" s="6"/>
      <c r="K304" s="2"/>
      <c r="L304" s="32"/>
      <c r="O304" s="32"/>
    </row>
    <row r="305" spans="2:15">
      <c r="B305" s="23"/>
      <c r="C305" s="22"/>
      <c r="H305" s="6"/>
      <c r="I305" s="6"/>
      <c r="K305" s="2"/>
      <c r="L305" s="32"/>
      <c r="O305" s="32"/>
    </row>
    <row r="306" spans="2:15">
      <c r="B306" s="23"/>
      <c r="C306" s="22"/>
      <c r="H306" s="6"/>
      <c r="I306" s="6"/>
      <c r="K306" s="2"/>
      <c r="L306" s="32"/>
      <c r="O306" s="32"/>
    </row>
    <row r="307" spans="2:15">
      <c r="B307" s="23"/>
      <c r="C307" s="22"/>
      <c r="H307" s="6"/>
      <c r="I307" s="6"/>
      <c r="K307" s="2"/>
      <c r="L307" s="32"/>
      <c r="O307" s="32"/>
    </row>
    <row r="308" spans="2:15">
      <c r="B308" s="23"/>
      <c r="C308" s="22"/>
      <c r="H308" s="6"/>
      <c r="I308" s="6"/>
      <c r="K308" s="2"/>
      <c r="L308" s="32"/>
      <c r="O308" s="32"/>
    </row>
    <row r="309" spans="2:15">
      <c r="B309" s="23"/>
      <c r="C309" s="22"/>
      <c r="H309" s="6"/>
      <c r="I309" s="6"/>
      <c r="K309" s="2"/>
      <c r="L309" s="32"/>
      <c r="O309" s="32"/>
    </row>
    <row r="310" spans="2:15">
      <c r="B310" s="23"/>
      <c r="C310" s="22"/>
      <c r="H310" s="6"/>
      <c r="I310" s="6"/>
      <c r="K310" s="2"/>
      <c r="L310" s="32"/>
      <c r="O310" s="32"/>
    </row>
    <row r="311" spans="2:15">
      <c r="B311" s="23"/>
      <c r="C311" s="22"/>
      <c r="H311" s="6"/>
      <c r="I311" s="6"/>
      <c r="K311" s="2"/>
      <c r="L311" s="32"/>
      <c r="O311" s="32"/>
    </row>
    <row r="312" spans="2:15">
      <c r="B312" s="23"/>
      <c r="C312" s="22"/>
      <c r="H312" s="6"/>
      <c r="I312" s="6"/>
      <c r="K312" s="2"/>
      <c r="L312" s="32"/>
      <c r="O312" s="32"/>
    </row>
    <row r="313" spans="2:15">
      <c r="B313" s="23"/>
      <c r="C313" s="22"/>
      <c r="H313" s="6"/>
      <c r="I313" s="6"/>
      <c r="K313" s="2"/>
      <c r="L313" s="32"/>
      <c r="O313" s="32"/>
    </row>
    <row r="314" spans="2:15">
      <c r="B314" s="23"/>
      <c r="C314" s="22"/>
      <c r="H314" s="6"/>
      <c r="I314" s="6"/>
      <c r="K314" s="2"/>
      <c r="L314" s="32"/>
      <c r="O314" s="32"/>
    </row>
    <row r="315" spans="2:15">
      <c r="B315" s="21"/>
      <c r="C315" s="22"/>
      <c r="H315" s="6"/>
      <c r="I315" s="6"/>
      <c r="K315" s="2"/>
      <c r="L315" s="32"/>
      <c r="O315" s="32"/>
    </row>
    <row r="316" spans="2:15">
      <c r="B316" s="21"/>
      <c r="C316" s="22"/>
      <c r="H316" s="6"/>
      <c r="I316" s="6"/>
      <c r="K316" s="2"/>
      <c r="L316" s="32"/>
      <c r="O316" s="32"/>
    </row>
    <row r="317" spans="2:15">
      <c r="B317" s="21"/>
      <c r="C317" s="22"/>
      <c r="H317" s="6"/>
      <c r="I317" s="6"/>
      <c r="K317" s="2"/>
      <c r="L317" s="32"/>
      <c r="O317" s="32"/>
    </row>
    <row r="318" spans="2:15">
      <c r="B318" s="21"/>
      <c r="C318" s="22"/>
      <c r="H318" s="6"/>
      <c r="I318" s="6"/>
      <c r="K318" s="2"/>
      <c r="L318" s="32"/>
      <c r="O318" s="32"/>
    </row>
    <row r="319" spans="2:15">
      <c r="B319" s="21"/>
      <c r="C319" s="22"/>
      <c r="H319" s="6"/>
      <c r="I319" s="6"/>
      <c r="K319" s="2"/>
      <c r="L319" s="32"/>
      <c r="O319" s="32"/>
    </row>
    <row r="320" spans="2:15">
      <c r="B320" s="21"/>
      <c r="C320" s="22"/>
      <c r="H320" s="6"/>
      <c r="I320" s="6"/>
      <c r="K320" s="2"/>
      <c r="L320" s="32"/>
      <c r="O320" s="32"/>
    </row>
    <row r="321" spans="2:15">
      <c r="B321" s="21"/>
      <c r="C321" s="22"/>
      <c r="H321" s="6"/>
      <c r="I321" s="6"/>
      <c r="K321" s="2"/>
      <c r="L321" s="32"/>
      <c r="O321" s="32"/>
    </row>
    <row r="322" spans="2:15">
      <c r="B322" s="21"/>
      <c r="C322" s="22"/>
      <c r="H322" s="6"/>
      <c r="I322" s="6"/>
      <c r="K322" s="2"/>
      <c r="L322" s="32"/>
      <c r="O322" s="32"/>
    </row>
    <row r="323" spans="2:15">
      <c r="B323" s="21"/>
      <c r="C323" s="22"/>
      <c r="H323" s="6"/>
      <c r="I323" s="6"/>
      <c r="K323" s="2"/>
      <c r="L323" s="32"/>
      <c r="O323" s="32"/>
    </row>
    <row r="324" spans="2:15">
      <c r="B324" s="21"/>
      <c r="C324" s="22"/>
      <c r="H324" s="6"/>
      <c r="I324" s="6"/>
      <c r="K324" s="2"/>
      <c r="L324" s="32"/>
      <c r="O324" s="32"/>
    </row>
    <row r="325" spans="2:15">
      <c r="B325" s="21"/>
      <c r="C325" s="22"/>
      <c r="H325" s="6"/>
      <c r="I325" s="6"/>
      <c r="K325" s="2"/>
      <c r="L325" s="32"/>
      <c r="O325" s="32"/>
    </row>
    <row r="326" spans="2:15">
      <c r="B326" s="21"/>
      <c r="C326" s="22"/>
      <c r="H326" s="6"/>
      <c r="I326" s="6"/>
      <c r="K326" s="2"/>
      <c r="L326" s="32"/>
      <c r="O326" s="32"/>
    </row>
    <row r="327" spans="2:15">
      <c r="B327" s="21"/>
      <c r="C327" s="22"/>
      <c r="H327" s="6"/>
      <c r="I327" s="6"/>
      <c r="K327" s="2"/>
      <c r="L327" s="32"/>
      <c r="O327" s="32"/>
    </row>
    <row r="328" spans="2:15">
      <c r="B328" s="21"/>
      <c r="C328" s="22"/>
      <c r="H328" s="6"/>
      <c r="I328" s="6"/>
      <c r="K328" s="2"/>
      <c r="L328" s="32"/>
      <c r="O328" s="32"/>
    </row>
    <row r="329" spans="2:15">
      <c r="B329" s="21"/>
      <c r="C329" s="22"/>
      <c r="H329" s="6"/>
      <c r="I329" s="6"/>
      <c r="K329" s="2"/>
      <c r="L329" s="32"/>
      <c r="O329" s="32"/>
    </row>
    <row r="330" spans="2:15">
      <c r="B330" s="21"/>
      <c r="C330" s="22"/>
      <c r="H330" s="6"/>
      <c r="I330" s="6"/>
      <c r="K330" s="2"/>
      <c r="L330" s="32"/>
      <c r="O330" s="32"/>
    </row>
    <row r="331" spans="2:15">
      <c r="B331" s="21"/>
      <c r="C331" s="22"/>
      <c r="H331" s="6"/>
      <c r="I331" s="6"/>
      <c r="K331" s="2"/>
      <c r="L331" s="32"/>
      <c r="O331" s="32"/>
    </row>
    <row r="332" spans="2:15">
      <c r="B332" s="21"/>
      <c r="C332" s="22"/>
      <c r="H332" s="6"/>
      <c r="I332" s="6"/>
      <c r="K332" s="2"/>
      <c r="L332" s="32"/>
      <c r="O332" s="32"/>
    </row>
    <row r="333" spans="2:15">
      <c r="B333" s="21"/>
      <c r="C333" s="22"/>
      <c r="H333" s="6"/>
      <c r="I333" s="6"/>
      <c r="K333" s="2"/>
      <c r="L333" s="32"/>
      <c r="O333" s="32"/>
    </row>
    <row r="334" spans="2:15">
      <c r="B334" s="21"/>
      <c r="C334" s="22"/>
      <c r="H334" s="6"/>
      <c r="I334" s="6"/>
      <c r="K334" s="2"/>
      <c r="L334" s="32"/>
      <c r="O334" s="32"/>
    </row>
    <row r="335" spans="2:15">
      <c r="B335" s="21"/>
      <c r="C335" s="22"/>
      <c r="H335" s="6"/>
      <c r="I335" s="6"/>
      <c r="K335" s="2"/>
      <c r="L335" s="32"/>
      <c r="O335" s="32"/>
    </row>
    <row r="336" spans="2:15">
      <c r="B336" s="21"/>
      <c r="C336" s="22"/>
      <c r="H336" s="6"/>
      <c r="I336" s="6"/>
      <c r="K336" s="2"/>
      <c r="L336" s="32"/>
      <c r="O336" s="32"/>
    </row>
    <row r="337" spans="2:15">
      <c r="B337" s="21"/>
      <c r="C337" s="22"/>
      <c r="H337" s="6"/>
      <c r="I337" s="6"/>
      <c r="K337" s="2"/>
      <c r="L337" s="32"/>
      <c r="O337" s="32"/>
    </row>
    <row r="338" spans="2:15">
      <c r="B338" s="21"/>
      <c r="C338" s="22"/>
      <c r="H338" s="6"/>
      <c r="I338" s="6"/>
      <c r="K338" s="2"/>
      <c r="L338" s="32"/>
      <c r="O338" s="32"/>
    </row>
    <row r="339" spans="2:15">
      <c r="B339" s="21"/>
      <c r="C339" s="22"/>
      <c r="H339" s="6"/>
      <c r="I339" s="6"/>
      <c r="K339" s="2"/>
      <c r="L339" s="32"/>
      <c r="O339" s="32"/>
    </row>
    <row r="340" spans="2:15">
      <c r="B340" s="21"/>
      <c r="C340" s="22"/>
      <c r="H340" s="6"/>
      <c r="I340" s="6"/>
      <c r="K340" s="2"/>
      <c r="L340" s="32"/>
      <c r="O340" s="32"/>
    </row>
    <row r="341" spans="2:15">
      <c r="B341" s="21"/>
      <c r="C341" s="22"/>
      <c r="H341" s="6"/>
      <c r="I341" s="6"/>
      <c r="K341" s="2"/>
      <c r="L341" s="32"/>
      <c r="O341" s="32"/>
    </row>
    <row r="342" spans="2:15">
      <c r="B342" s="21"/>
      <c r="C342" s="22"/>
      <c r="H342" s="6"/>
      <c r="I342" s="6"/>
      <c r="K342" s="2"/>
      <c r="L342" s="32"/>
      <c r="O342" s="32"/>
    </row>
    <row r="343" spans="2:15">
      <c r="B343" s="21"/>
      <c r="C343" s="22"/>
      <c r="H343" s="6"/>
      <c r="I343" s="6"/>
      <c r="K343" s="2"/>
      <c r="L343" s="32"/>
      <c r="O343" s="32"/>
    </row>
    <row r="344" spans="2:15">
      <c r="B344" s="21"/>
      <c r="C344" s="22"/>
      <c r="H344" s="6"/>
      <c r="I344" s="6"/>
      <c r="K344" s="2"/>
      <c r="L344" s="32"/>
      <c r="O344" s="32"/>
    </row>
    <row r="345" spans="2:15">
      <c r="B345" s="21"/>
      <c r="C345" s="22"/>
      <c r="H345" s="6"/>
      <c r="I345" s="6"/>
      <c r="K345" s="2"/>
      <c r="L345" s="32"/>
      <c r="O345" s="32"/>
    </row>
    <row r="346" spans="2:15">
      <c r="B346" s="21"/>
      <c r="C346" s="22"/>
      <c r="H346" s="6"/>
      <c r="I346" s="6"/>
      <c r="K346" s="2"/>
      <c r="L346" s="32"/>
      <c r="O346" s="32"/>
    </row>
    <row r="347" spans="2:15">
      <c r="B347" s="21"/>
      <c r="C347" s="22"/>
      <c r="H347" s="6"/>
      <c r="I347" s="6"/>
      <c r="K347" s="2"/>
      <c r="L347" s="32"/>
      <c r="O347" s="32"/>
    </row>
    <row r="348" spans="2:15">
      <c r="B348" s="21"/>
      <c r="C348" s="22"/>
      <c r="H348" s="6"/>
      <c r="I348" s="6"/>
      <c r="K348" s="2"/>
      <c r="L348" s="32"/>
      <c r="O348" s="32"/>
    </row>
    <row r="349" spans="2:15">
      <c r="B349" s="21"/>
      <c r="C349" s="22"/>
      <c r="H349" s="6"/>
      <c r="I349" s="6"/>
      <c r="K349" s="2"/>
      <c r="L349" s="32"/>
      <c r="O349" s="32"/>
    </row>
    <row r="350" spans="2:15">
      <c r="B350" s="21"/>
      <c r="C350" s="22"/>
      <c r="H350" s="6"/>
      <c r="I350" s="6"/>
      <c r="K350" s="2"/>
      <c r="L350" s="32"/>
      <c r="O350" s="32"/>
    </row>
    <row r="351" spans="2:15">
      <c r="B351" s="21"/>
      <c r="C351" s="22"/>
      <c r="H351" s="6"/>
      <c r="I351" s="6"/>
      <c r="K351" s="2"/>
      <c r="L351" s="32"/>
      <c r="O351" s="32"/>
    </row>
    <row r="352" spans="2:15">
      <c r="B352" s="21"/>
      <c r="C352" s="22"/>
      <c r="H352" s="6"/>
      <c r="I352" s="6"/>
      <c r="K352" s="2"/>
      <c r="L352" s="32"/>
      <c r="O352" s="32"/>
    </row>
    <row r="353" spans="2:15">
      <c r="B353" s="21"/>
      <c r="C353" s="22"/>
      <c r="H353" s="6"/>
      <c r="I353" s="6"/>
      <c r="K353" s="2"/>
      <c r="L353" s="32"/>
      <c r="O353" s="32"/>
    </row>
    <row r="354" spans="2:15">
      <c r="B354" s="21"/>
      <c r="C354" s="22"/>
      <c r="H354" s="6"/>
      <c r="I354" s="6"/>
      <c r="K354" s="2"/>
      <c r="L354" s="32"/>
      <c r="O354" s="32"/>
    </row>
    <row r="355" spans="2:15">
      <c r="B355" s="21"/>
      <c r="C355" s="22"/>
      <c r="H355" s="6"/>
      <c r="I355" s="6"/>
      <c r="K355" s="2"/>
      <c r="L355" s="32"/>
      <c r="O355" s="32"/>
    </row>
    <row r="356" spans="2:15">
      <c r="B356" s="21"/>
      <c r="C356" s="22"/>
      <c r="H356" s="6"/>
      <c r="I356" s="6"/>
      <c r="K356" s="2"/>
      <c r="L356" s="32"/>
      <c r="O356" s="32"/>
    </row>
    <row r="357" spans="2:15">
      <c r="B357" s="21"/>
      <c r="C357" s="22"/>
      <c r="H357" s="6"/>
      <c r="I357" s="6"/>
      <c r="K357" s="2"/>
      <c r="L357" s="32"/>
      <c r="O357" s="32"/>
    </row>
    <row r="358" spans="2:15">
      <c r="B358" s="21"/>
      <c r="C358" s="22"/>
      <c r="H358" s="6"/>
      <c r="I358" s="6"/>
      <c r="K358" s="2"/>
      <c r="L358" s="32"/>
      <c r="O358" s="32"/>
    </row>
    <row r="359" spans="2:15">
      <c r="B359" s="21"/>
      <c r="C359" s="22"/>
      <c r="H359" s="6"/>
      <c r="I359" s="6"/>
      <c r="K359" s="2"/>
      <c r="L359" s="32"/>
      <c r="O359" s="32"/>
    </row>
    <row r="360" spans="2:15">
      <c r="B360" s="21"/>
      <c r="C360" s="22"/>
      <c r="H360" s="6"/>
      <c r="I360" s="6"/>
      <c r="K360" s="2"/>
      <c r="L360" s="32"/>
      <c r="O360" s="32"/>
    </row>
    <row r="361" spans="2:15">
      <c r="B361" s="21"/>
      <c r="C361" s="22"/>
      <c r="H361" s="6"/>
      <c r="I361" s="6"/>
      <c r="K361" s="2"/>
      <c r="L361" s="32"/>
      <c r="O361" s="32"/>
    </row>
    <row r="362" spans="2:15">
      <c r="B362" s="21"/>
      <c r="C362" s="22"/>
      <c r="H362" s="6"/>
      <c r="I362" s="6"/>
      <c r="K362" s="2"/>
      <c r="L362" s="32"/>
      <c r="O362" s="32"/>
    </row>
    <row r="363" spans="2:15">
      <c r="B363" s="21"/>
      <c r="C363" s="22"/>
      <c r="H363" s="6"/>
      <c r="I363" s="6"/>
      <c r="K363" s="2"/>
      <c r="L363" s="32"/>
      <c r="O363" s="32"/>
    </row>
    <row r="364" spans="2:15">
      <c r="B364" s="21"/>
      <c r="C364" s="22"/>
      <c r="H364" s="6"/>
      <c r="I364" s="6"/>
      <c r="K364" s="2"/>
      <c r="L364" s="32"/>
      <c r="O364" s="32"/>
    </row>
    <row r="365" spans="2:15">
      <c r="B365" s="21"/>
      <c r="C365" s="22"/>
      <c r="H365" s="6"/>
      <c r="I365" s="6"/>
      <c r="K365" s="2"/>
      <c r="L365" s="32"/>
      <c r="O365" s="32"/>
    </row>
    <row r="366" spans="2:15">
      <c r="B366" s="21"/>
      <c r="C366" s="22"/>
      <c r="H366" s="6"/>
      <c r="I366" s="6"/>
      <c r="K366" s="2"/>
      <c r="L366" s="32"/>
      <c r="O366" s="32"/>
    </row>
    <row r="367" spans="2:15">
      <c r="B367" s="21"/>
      <c r="C367" s="22"/>
      <c r="H367" s="6"/>
      <c r="I367" s="6"/>
      <c r="K367" s="2"/>
      <c r="L367" s="32"/>
      <c r="O367" s="32"/>
    </row>
    <row r="368" spans="2:15">
      <c r="B368" s="21"/>
      <c r="C368" s="22"/>
      <c r="H368" s="6"/>
      <c r="I368" s="6"/>
      <c r="K368" s="2"/>
      <c r="L368" s="32"/>
      <c r="O368" s="32"/>
    </row>
    <row r="369" spans="2:15">
      <c r="B369" s="21"/>
      <c r="C369" s="22"/>
      <c r="H369" s="6"/>
      <c r="I369" s="6"/>
      <c r="K369" s="2"/>
      <c r="L369" s="32"/>
      <c r="O369" s="32"/>
    </row>
    <row r="370" spans="2:15">
      <c r="B370" s="21"/>
      <c r="C370" s="22"/>
      <c r="H370" s="6"/>
      <c r="I370" s="6"/>
      <c r="K370" s="2"/>
      <c r="L370" s="32"/>
      <c r="O370" s="32"/>
    </row>
    <row r="371" spans="2:15">
      <c r="B371" s="21"/>
      <c r="C371" s="22"/>
      <c r="H371" s="6"/>
      <c r="I371" s="6"/>
      <c r="K371" s="2"/>
      <c r="L371" s="32"/>
      <c r="O371" s="32"/>
    </row>
    <row r="372" spans="2:15">
      <c r="B372" s="21"/>
      <c r="C372" s="22"/>
      <c r="H372" s="6"/>
      <c r="I372" s="6"/>
      <c r="K372" s="2"/>
      <c r="L372" s="32"/>
      <c r="O372" s="32"/>
    </row>
    <row r="373" spans="2:15">
      <c r="B373" s="21"/>
      <c r="C373" s="22"/>
      <c r="H373" s="6"/>
      <c r="I373" s="6"/>
      <c r="K373" s="2"/>
      <c r="L373" s="32"/>
      <c r="O373" s="32"/>
    </row>
    <row r="374" spans="2:15">
      <c r="B374" s="21"/>
      <c r="C374" s="22"/>
      <c r="H374" s="6"/>
      <c r="I374" s="6"/>
      <c r="K374" s="2"/>
      <c r="L374" s="32"/>
      <c r="O374" s="32"/>
    </row>
    <row r="375" spans="2:15">
      <c r="B375" s="21"/>
      <c r="C375" s="22"/>
      <c r="H375" s="6"/>
      <c r="I375" s="6"/>
      <c r="K375" s="2"/>
      <c r="L375" s="32"/>
      <c r="O375" s="32"/>
    </row>
    <row r="376" spans="2:15">
      <c r="B376" s="21"/>
      <c r="C376" s="22"/>
      <c r="H376" s="6"/>
      <c r="I376" s="6"/>
      <c r="K376" s="2"/>
      <c r="L376" s="32"/>
      <c r="O376" s="32"/>
    </row>
    <row r="377" spans="2:15">
      <c r="B377" s="21"/>
      <c r="C377" s="22"/>
      <c r="H377" s="6"/>
      <c r="I377" s="6"/>
      <c r="K377" s="2"/>
      <c r="L377" s="32"/>
      <c r="O377" s="32"/>
    </row>
    <row r="378" spans="2:15">
      <c r="B378" s="21"/>
      <c r="C378" s="22"/>
      <c r="H378" s="6"/>
      <c r="I378" s="6"/>
      <c r="K378" s="2"/>
      <c r="L378" s="32"/>
      <c r="O378" s="32"/>
    </row>
    <row r="379" spans="2:15">
      <c r="B379" s="21"/>
      <c r="C379" s="22"/>
      <c r="H379" s="6"/>
      <c r="I379" s="6"/>
      <c r="K379" s="2"/>
      <c r="L379" s="32"/>
      <c r="O379" s="32"/>
    </row>
    <row r="380" spans="2:15">
      <c r="B380" s="21"/>
      <c r="C380" s="22"/>
      <c r="H380" s="6"/>
      <c r="I380" s="6"/>
      <c r="K380" s="2"/>
      <c r="L380" s="32"/>
      <c r="O380" s="32"/>
    </row>
    <row r="381" spans="2:15">
      <c r="B381" s="21"/>
      <c r="C381" s="22"/>
      <c r="H381" s="6"/>
      <c r="I381" s="6"/>
      <c r="K381" s="2"/>
      <c r="L381" s="32"/>
      <c r="O381" s="32"/>
    </row>
    <row r="382" spans="2:15">
      <c r="B382" s="21"/>
      <c r="C382" s="22"/>
      <c r="H382" s="6"/>
      <c r="I382" s="6"/>
      <c r="K382" s="2"/>
      <c r="L382" s="32"/>
      <c r="O382" s="32"/>
    </row>
    <row r="383" spans="2:15">
      <c r="B383" s="21"/>
      <c r="C383" s="22"/>
      <c r="H383" s="6"/>
      <c r="I383" s="6"/>
      <c r="K383" s="2"/>
      <c r="L383" s="32"/>
      <c r="O383" s="32"/>
    </row>
    <row r="384" spans="2:15">
      <c r="B384" s="21"/>
      <c r="C384" s="22"/>
      <c r="H384" s="6"/>
      <c r="I384" s="6"/>
      <c r="K384" s="2"/>
      <c r="L384" s="32"/>
      <c r="O384" s="32"/>
    </row>
    <row r="385" spans="2:15">
      <c r="B385" s="21"/>
      <c r="C385" s="22"/>
      <c r="H385" s="6"/>
      <c r="I385" s="6"/>
      <c r="K385" s="2"/>
      <c r="L385" s="32"/>
      <c r="O385" s="32"/>
    </row>
    <row r="386" spans="2:15">
      <c r="B386" s="21"/>
      <c r="C386" s="22"/>
      <c r="H386" s="6"/>
      <c r="I386" s="6"/>
      <c r="K386" s="2"/>
      <c r="L386" s="32"/>
      <c r="O386" s="32"/>
    </row>
    <row r="387" spans="2:15">
      <c r="B387" s="21"/>
      <c r="C387" s="22"/>
      <c r="H387" s="6"/>
      <c r="I387" s="6"/>
      <c r="K387" s="2"/>
      <c r="L387" s="32"/>
      <c r="O387" s="32"/>
    </row>
    <row r="388" spans="2:15">
      <c r="B388" s="21"/>
      <c r="C388" s="22"/>
      <c r="H388" s="6"/>
      <c r="I388" s="6"/>
      <c r="K388" s="2"/>
      <c r="L388" s="32"/>
      <c r="O388" s="32"/>
    </row>
    <row r="389" spans="2:15">
      <c r="B389" s="21"/>
      <c r="C389" s="22"/>
      <c r="H389" s="6"/>
      <c r="I389" s="6"/>
      <c r="K389" s="2"/>
      <c r="L389" s="32"/>
      <c r="O389" s="32"/>
    </row>
    <row r="390" spans="2:15">
      <c r="B390" s="21"/>
      <c r="C390" s="22"/>
      <c r="H390" s="6"/>
      <c r="I390" s="6"/>
      <c r="K390" s="2"/>
      <c r="L390" s="32"/>
      <c r="O390" s="32"/>
    </row>
    <row r="391" spans="2:15">
      <c r="B391" s="21"/>
      <c r="C391" s="22"/>
      <c r="H391" s="6"/>
      <c r="I391" s="6"/>
      <c r="K391" s="2"/>
      <c r="L391" s="32"/>
      <c r="O391" s="32"/>
    </row>
    <row r="392" spans="2:15">
      <c r="B392" s="21"/>
      <c r="C392" s="22"/>
      <c r="H392" s="6"/>
      <c r="I392" s="6"/>
      <c r="K392" s="2"/>
      <c r="L392" s="32"/>
      <c r="O392" s="32"/>
    </row>
    <row r="393" spans="2:15">
      <c r="B393" s="21"/>
      <c r="C393" s="22"/>
      <c r="H393" s="6"/>
      <c r="I393" s="6"/>
      <c r="K393" s="2"/>
      <c r="L393" s="32"/>
      <c r="O393" s="32"/>
    </row>
    <row r="394" spans="2:15">
      <c r="B394" s="21"/>
      <c r="C394" s="22"/>
      <c r="H394" s="6"/>
      <c r="I394" s="6"/>
      <c r="K394" s="2"/>
      <c r="L394" s="32"/>
      <c r="O394" s="32"/>
    </row>
    <row r="395" spans="2:15">
      <c r="B395" s="21"/>
      <c r="C395" s="22"/>
      <c r="H395" s="6"/>
      <c r="I395" s="6"/>
      <c r="K395" s="2"/>
      <c r="L395" s="32"/>
      <c r="O395" s="32"/>
    </row>
    <row r="396" spans="2:15">
      <c r="B396" s="21"/>
      <c r="C396" s="22"/>
      <c r="H396" s="6"/>
      <c r="I396" s="6"/>
      <c r="K396" s="2"/>
      <c r="L396" s="32"/>
      <c r="O396" s="32"/>
    </row>
    <row r="397" spans="2:15">
      <c r="B397" s="21"/>
      <c r="C397" s="22"/>
      <c r="H397" s="6"/>
      <c r="I397" s="6"/>
      <c r="K397" s="2"/>
      <c r="L397" s="32"/>
      <c r="O397" s="32"/>
    </row>
    <row r="398" spans="2:15">
      <c r="B398" s="21"/>
      <c r="C398" s="22"/>
      <c r="H398" s="6"/>
      <c r="I398" s="6"/>
      <c r="K398" s="2"/>
      <c r="L398" s="32"/>
      <c r="O398" s="32"/>
    </row>
    <row r="399" spans="2:15">
      <c r="B399" s="21"/>
      <c r="C399" s="22"/>
      <c r="H399" s="6"/>
      <c r="I399" s="6"/>
      <c r="K399" s="2"/>
      <c r="L399" s="32"/>
      <c r="O399" s="32"/>
    </row>
    <row r="400" spans="2:15">
      <c r="B400" s="21"/>
      <c r="C400" s="22"/>
      <c r="H400" s="6"/>
      <c r="I400" s="6"/>
      <c r="K400" s="2"/>
      <c r="L400" s="32"/>
      <c r="O400" s="32"/>
    </row>
    <row r="401" spans="2:15">
      <c r="B401" s="21"/>
      <c r="C401" s="22"/>
      <c r="H401" s="6"/>
      <c r="I401" s="6"/>
      <c r="K401" s="2"/>
      <c r="L401" s="32"/>
      <c r="O401" s="32"/>
    </row>
    <row r="402" spans="2:15">
      <c r="B402" s="21"/>
      <c r="C402" s="22"/>
      <c r="H402" s="6"/>
      <c r="I402" s="6"/>
      <c r="K402" s="2"/>
      <c r="L402" s="32"/>
      <c r="O402" s="32"/>
    </row>
    <row r="403" spans="2:15">
      <c r="B403" s="21"/>
      <c r="C403" s="22"/>
      <c r="H403" s="6"/>
      <c r="I403" s="6"/>
      <c r="K403" s="2"/>
      <c r="L403" s="32"/>
      <c r="O403" s="32"/>
    </row>
    <row r="404" spans="2:15">
      <c r="B404" s="21"/>
      <c r="C404" s="22"/>
      <c r="H404" s="6"/>
      <c r="I404" s="6"/>
      <c r="K404" s="2"/>
      <c r="L404" s="32"/>
      <c r="O404" s="32"/>
    </row>
    <row r="405" spans="2:15">
      <c r="B405" s="21"/>
      <c r="C405" s="22"/>
      <c r="H405" s="6"/>
      <c r="I405" s="6"/>
      <c r="K405" s="2"/>
      <c r="L405" s="32"/>
      <c r="O405" s="32"/>
    </row>
    <row r="406" spans="2:15">
      <c r="B406" s="21"/>
      <c r="C406" s="22"/>
      <c r="H406" s="6"/>
      <c r="I406" s="6"/>
      <c r="K406" s="2"/>
      <c r="L406" s="32"/>
      <c r="O406" s="32"/>
    </row>
    <row r="407" spans="2:15">
      <c r="B407" s="21"/>
      <c r="C407" s="22"/>
      <c r="H407" s="6"/>
      <c r="I407" s="6"/>
      <c r="K407" s="2"/>
      <c r="L407" s="32"/>
      <c r="O407" s="32"/>
    </row>
    <row r="408" spans="2:15">
      <c r="B408" s="21"/>
      <c r="C408" s="22"/>
      <c r="H408" s="6"/>
      <c r="I408" s="6"/>
      <c r="K408" s="2"/>
      <c r="L408" s="32"/>
      <c r="O408" s="32"/>
    </row>
    <row r="409" spans="2:15">
      <c r="B409" s="21"/>
      <c r="C409" s="22"/>
      <c r="H409" s="6"/>
      <c r="I409" s="6"/>
      <c r="K409" s="2"/>
      <c r="L409" s="32"/>
      <c r="O409" s="32"/>
    </row>
    <row r="410" spans="2:15">
      <c r="B410" s="21"/>
      <c r="C410" s="22"/>
      <c r="H410" s="6"/>
      <c r="I410" s="6"/>
      <c r="K410" s="2"/>
      <c r="L410" s="32"/>
      <c r="O410" s="32"/>
    </row>
    <row r="411" spans="2:15">
      <c r="B411" s="21"/>
      <c r="C411" s="22"/>
      <c r="H411" s="6"/>
      <c r="I411" s="6"/>
      <c r="K411" s="2"/>
      <c r="L411" s="32"/>
      <c r="O411" s="32"/>
    </row>
    <row r="412" spans="2:15">
      <c r="B412" s="21"/>
      <c r="C412" s="22"/>
      <c r="H412" s="6"/>
      <c r="I412" s="6"/>
      <c r="K412" s="2"/>
      <c r="L412" s="32"/>
      <c r="O412" s="32"/>
    </row>
    <row r="413" spans="2:15">
      <c r="B413" s="21"/>
      <c r="C413" s="22"/>
      <c r="H413" s="6"/>
      <c r="I413" s="6"/>
      <c r="K413" s="2"/>
      <c r="L413" s="32"/>
      <c r="O413" s="32"/>
    </row>
    <row r="414" spans="2:15">
      <c r="B414" s="21"/>
      <c r="C414" s="22"/>
      <c r="H414" s="6"/>
      <c r="I414" s="6"/>
      <c r="K414" s="2"/>
      <c r="L414" s="32"/>
      <c r="O414" s="32"/>
    </row>
    <row r="415" spans="2:15">
      <c r="B415" s="21"/>
      <c r="C415" s="22"/>
      <c r="H415" s="6"/>
      <c r="I415" s="6"/>
      <c r="K415" s="2"/>
      <c r="L415" s="32"/>
      <c r="O415" s="32"/>
    </row>
    <row r="416" spans="2:15">
      <c r="B416" s="21"/>
      <c r="C416" s="22"/>
      <c r="H416" s="6"/>
      <c r="I416" s="6"/>
      <c r="K416" s="2"/>
      <c r="L416" s="32"/>
      <c r="O416" s="32"/>
    </row>
    <row r="417" spans="2:15">
      <c r="B417" s="21"/>
      <c r="C417" s="22"/>
      <c r="H417" s="6"/>
      <c r="I417" s="6"/>
      <c r="K417" s="2"/>
      <c r="L417" s="32"/>
      <c r="O417" s="32"/>
    </row>
    <row r="418" spans="2:15">
      <c r="B418" s="21"/>
      <c r="C418" s="22"/>
      <c r="H418" s="6"/>
      <c r="I418" s="6"/>
      <c r="K418" s="2"/>
      <c r="L418" s="32"/>
      <c r="O418" s="32"/>
    </row>
    <row r="419" spans="2:15">
      <c r="B419" s="21"/>
      <c r="C419" s="22"/>
      <c r="H419" s="6"/>
      <c r="I419" s="6"/>
      <c r="K419" s="2"/>
      <c r="L419" s="32"/>
      <c r="O419" s="32"/>
    </row>
    <row r="420" spans="2:15">
      <c r="B420" s="21"/>
      <c r="C420" s="22"/>
      <c r="H420" s="6"/>
      <c r="I420" s="6"/>
      <c r="K420" s="2"/>
      <c r="L420" s="32"/>
      <c r="O420" s="32"/>
    </row>
    <row r="421" spans="2:15">
      <c r="B421" s="21"/>
      <c r="C421" s="22"/>
      <c r="H421" s="6"/>
      <c r="I421" s="6"/>
      <c r="K421" s="2"/>
      <c r="L421" s="32"/>
      <c r="O421" s="32"/>
    </row>
    <row r="422" spans="2:15">
      <c r="B422" s="21"/>
      <c r="C422" s="22"/>
      <c r="H422" s="6"/>
      <c r="I422" s="6"/>
      <c r="K422" s="2"/>
      <c r="L422" s="32"/>
      <c r="O422" s="32"/>
    </row>
    <row r="423" spans="2:15">
      <c r="B423" s="21"/>
      <c r="C423" s="22"/>
      <c r="H423" s="6"/>
      <c r="I423" s="6"/>
      <c r="K423" s="2"/>
      <c r="L423" s="32"/>
      <c r="O423" s="32"/>
    </row>
    <row r="424" spans="2:15">
      <c r="B424" s="21"/>
      <c r="C424" s="22"/>
      <c r="H424" s="6"/>
      <c r="I424" s="6"/>
      <c r="K424" s="2"/>
      <c r="L424" s="32"/>
      <c r="O424" s="32"/>
    </row>
    <row r="425" spans="2:15">
      <c r="B425" s="21"/>
      <c r="C425" s="22"/>
      <c r="H425" s="6"/>
      <c r="I425" s="6"/>
      <c r="K425" s="2"/>
      <c r="L425" s="32"/>
      <c r="O425" s="32"/>
    </row>
    <row r="426" spans="2:15">
      <c r="B426" s="21"/>
      <c r="C426" s="22"/>
      <c r="H426" s="6"/>
      <c r="I426" s="6"/>
      <c r="K426" s="2"/>
      <c r="L426" s="32"/>
      <c r="O426" s="32"/>
    </row>
    <row r="427" spans="2:15">
      <c r="B427" s="21"/>
      <c r="C427" s="22"/>
      <c r="H427" s="6"/>
      <c r="I427" s="6"/>
      <c r="K427" s="2"/>
      <c r="L427" s="32"/>
      <c r="O427" s="32"/>
    </row>
    <row r="428" spans="2:15">
      <c r="B428" s="21"/>
      <c r="C428" s="22"/>
      <c r="H428" s="6"/>
      <c r="I428" s="6"/>
      <c r="K428" s="2"/>
      <c r="L428" s="32"/>
      <c r="O428" s="32"/>
    </row>
    <row r="429" spans="2:15">
      <c r="B429" s="21"/>
      <c r="C429" s="22"/>
      <c r="H429" s="6"/>
      <c r="I429" s="6"/>
      <c r="K429" s="2"/>
      <c r="L429" s="32"/>
      <c r="O429" s="32"/>
    </row>
    <row r="430" spans="2:15">
      <c r="B430" s="21"/>
      <c r="C430" s="22"/>
      <c r="H430" s="6"/>
      <c r="I430" s="6"/>
      <c r="K430" s="2"/>
      <c r="L430" s="32"/>
      <c r="O430" s="32"/>
    </row>
    <row r="431" spans="2:15">
      <c r="B431" s="21"/>
      <c r="C431" s="22"/>
      <c r="H431" s="6"/>
      <c r="I431" s="6"/>
      <c r="K431" s="2"/>
      <c r="L431" s="32"/>
      <c r="O431" s="32"/>
    </row>
    <row r="432" spans="2:15">
      <c r="B432" s="21"/>
      <c r="C432" s="22"/>
      <c r="H432" s="6"/>
      <c r="I432" s="6"/>
      <c r="K432" s="2"/>
      <c r="L432" s="32"/>
      <c r="O432" s="32"/>
    </row>
    <row r="433" spans="2:15">
      <c r="B433" s="21"/>
      <c r="C433" s="22"/>
      <c r="H433" s="6"/>
      <c r="I433" s="6"/>
      <c r="K433" s="2"/>
      <c r="L433" s="32"/>
      <c r="O433" s="32"/>
    </row>
    <row r="434" spans="2:15">
      <c r="B434" s="21"/>
      <c r="C434" s="22"/>
      <c r="H434" s="6"/>
      <c r="I434" s="6"/>
      <c r="K434" s="2"/>
      <c r="L434" s="32"/>
      <c r="O434" s="32"/>
    </row>
    <row r="435" spans="2:15">
      <c r="B435" s="21"/>
      <c r="C435" s="22"/>
      <c r="H435" s="6"/>
      <c r="I435" s="6"/>
      <c r="K435" s="2"/>
      <c r="L435" s="32"/>
      <c r="O435" s="32"/>
    </row>
    <row r="436" spans="2:15">
      <c r="B436" s="21"/>
      <c r="C436" s="22"/>
      <c r="H436" s="6"/>
      <c r="I436" s="6"/>
      <c r="K436" s="2"/>
      <c r="L436" s="32"/>
      <c r="O436" s="32"/>
    </row>
    <row r="437" spans="2:15">
      <c r="B437" s="21"/>
      <c r="C437" s="22"/>
      <c r="H437" s="6"/>
      <c r="I437" s="6"/>
      <c r="K437" s="2"/>
      <c r="L437" s="32"/>
      <c r="O437" s="32"/>
    </row>
    <row r="438" spans="2:15">
      <c r="B438" s="21"/>
      <c r="C438" s="22"/>
      <c r="H438" s="6"/>
      <c r="I438" s="6"/>
      <c r="K438" s="2"/>
      <c r="L438" s="32"/>
      <c r="O438" s="32"/>
    </row>
    <row r="439" spans="2:15">
      <c r="B439" s="21"/>
      <c r="C439" s="22"/>
      <c r="H439" s="6"/>
      <c r="I439" s="6"/>
      <c r="K439" s="2"/>
      <c r="L439" s="32"/>
      <c r="O439" s="32"/>
    </row>
    <row r="440" spans="2:15">
      <c r="B440" s="21"/>
      <c r="C440" s="22"/>
      <c r="H440" s="6"/>
      <c r="I440" s="6"/>
      <c r="K440" s="2"/>
      <c r="L440" s="32"/>
      <c r="O440" s="32"/>
    </row>
    <row r="441" spans="2:15">
      <c r="B441" s="21"/>
      <c r="C441" s="22"/>
      <c r="H441" s="6"/>
      <c r="I441" s="6"/>
      <c r="K441" s="2"/>
      <c r="L441" s="32"/>
      <c r="O441" s="32"/>
    </row>
    <row r="442" spans="2:15">
      <c r="B442" s="21"/>
      <c r="C442" s="22"/>
      <c r="H442" s="6"/>
      <c r="I442" s="6"/>
      <c r="K442" s="2"/>
      <c r="L442" s="32"/>
      <c r="O442" s="32"/>
    </row>
    <row r="443" spans="2:15">
      <c r="L443" s="32"/>
      <c r="O443" s="32"/>
    </row>
    <row r="444" spans="2:15">
      <c r="L444" s="32"/>
      <c r="O444" s="32"/>
    </row>
    <row r="445" spans="2:15">
      <c r="L445" s="32"/>
      <c r="O445" s="32"/>
    </row>
    <row r="446" spans="2:15">
      <c r="L446" s="32"/>
      <c r="O446" s="32"/>
    </row>
    <row r="447" spans="2:15">
      <c r="L447" s="32"/>
      <c r="O447" s="32"/>
    </row>
    <row r="448" spans="2:15">
      <c r="L448" s="32"/>
      <c r="O448" s="32"/>
    </row>
    <row r="449" spans="12:15">
      <c r="L449" s="32"/>
      <c r="O449" s="32"/>
    </row>
    <row r="450" spans="12:15">
      <c r="L450" s="32"/>
      <c r="O450" s="32"/>
    </row>
    <row r="451" spans="12:15">
      <c r="L451" s="32"/>
      <c r="O451" s="32"/>
    </row>
    <row r="452" spans="12:15">
      <c r="L452" s="32"/>
      <c r="O452" s="32"/>
    </row>
    <row r="453" spans="12:15">
      <c r="L453" s="32"/>
      <c r="O453" s="32"/>
    </row>
    <row r="454" spans="12:15">
      <c r="L454" s="32"/>
      <c r="O454" s="32"/>
    </row>
    <row r="455" spans="12:15">
      <c r="L455" s="32"/>
      <c r="O455" s="32"/>
    </row>
    <row r="456" spans="12:15">
      <c r="L456" s="32"/>
      <c r="O456" s="32"/>
    </row>
    <row r="457" spans="12:15">
      <c r="L457" s="32"/>
      <c r="O457" s="32"/>
    </row>
    <row r="458" spans="12:15">
      <c r="L458" s="32"/>
      <c r="O458" s="32"/>
    </row>
    <row r="459" spans="12:15">
      <c r="L459" s="32"/>
      <c r="O459" s="32"/>
    </row>
    <row r="460" spans="12:15">
      <c r="L460" s="32"/>
      <c r="O460" s="32"/>
    </row>
    <row r="461" spans="12:15">
      <c r="L461" s="32"/>
      <c r="O461" s="32"/>
    </row>
    <row r="462" spans="12:15">
      <c r="L462" s="32"/>
      <c r="O462" s="32"/>
    </row>
    <row r="463" spans="12:15">
      <c r="L463" s="32"/>
      <c r="O463" s="32"/>
    </row>
    <row r="464" spans="12:15">
      <c r="L464" s="32"/>
      <c r="O464" s="32"/>
    </row>
    <row r="465" spans="12:15">
      <c r="L465" s="32"/>
      <c r="O465" s="32"/>
    </row>
    <row r="466" spans="12:15">
      <c r="L466" s="32"/>
      <c r="O466" s="32"/>
    </row>
    <row r="467" spans="12:15">
      <c r="L467" s="32"/>
      <c r="O467" s="32"/>
    </row>
    <row r="468" spans="12:15">
      <c r="L468" s="32"/>
      <c r="O468" s="32"/>
    </row>
    <row r="469" spans="12:15">
      <c r="L469" s="32"/>
      <c r="O469" s="32"/>
    </row>
    <row r="470" spans="12:15">
      <c r="L470" s="32"/>
      <c r="O470" s="32"/>
    </row>
    <row r="471" spans="12:15">
      <c r="L471" s="32"/>
      <c r="O471" s="32"/>
    </row>
    <row r="472" spans="12:15">
      <c r="L472" s="32"/>
      <c r="O472" s="32"/>
    </row>
    <row r="473" spans="12:15">
      <c r="L473" s="32"/>
      <c r="O473" s="32"/>
    </row>
    <row r="474" spans="12:15">
      <c r="L474" s="32"/>
      <c r="O474" s="32"/>
    </row>
    <row r="475" spans="12:15">
      <c r="L475" s="32"/>
      <c r="O475" s="32"/>
    </row>
    <row r="476" spans="12:15">
      <c r="L476" s="32"/>
      <c r="O476" s="32"/>
    </row>
    <row r="477" spans="12:15">
      <c r="L477" s="32"/>
      <c r="O477" s="32"/>
    </row>
    <row r="478" spans="12:15">
      <c r="L478" s="32"/>
      <c r="O478" s="32"/>
    </row>
    <row r="479" spans="12:15">
      <c r="L479" s="32"/>
      <c r="O479" s="32"/>
    </row>
    <row r="480" spans="12:15">
      <c r="L480" s="32"/>
      <c r="O480" s="32"/>
    </row>
    <row r="481" spans="12:15">
      <c r="L481" s="32"/>
      <c r="O481" s="32"/>
    </row>
    <row r="482" spans="12:15">
      <c r="L482" s="32"/>
      <c r="O482" s="32"/>
    </row>
    <row r="483" spans="12:15">
      <c r="L483" s="32"/>
      <c r="O483" s="32"/>
    </row>
    <row r="484" spans="12:15">
      <c r="L484" s="32"/>
      <c r="O484" s="32"/>
    </row>
    <row r="485" spans="12:15">
      <c r="L485" s="32"/>
      <c r="O485" s="32"/>
    </row>
    <row r="486" spans="12:15">
      <c r="L486" s="32"/>
      <c r="O486" s="32"/>
    </row>
    <row r="487" spans="12:15">
      <c r="L487" s="32"/>
      <c r="O487" s="32"/>
    </row>
    <row r="488" spans="12:15">
      <c r="L488" s="32"/>
      <c r="O488" s="32"/>
    </row>
    <row r="489" spans="12:15">
      <c r="L489" s="32"/>
      <c r="O489" s="32"/>
    </row>
    <row r="490" spans="12:15">
      <c r="L490" s="32"/>
      <c r="O490" s="32"/>
    </row>
    <row r="491" spans="12:15">
      <c r="L491" s="32"/>
      <c r="O491" s="32"/>
    </row>
    <row r="492" spans="12:15">
      <c r="L492" s="32"/>
      <c r="O492" s="32"/>
    </row>
    <row r="493" spans="12:15">
      <c r="L493" s="32"/>
      <c r="O493" s="32"/>
    </row>
    <row r="494" spans="12:15">
      <c r="L494" s="32"/>
      <c r="O494" s="32"/>
    </row>
    <row r="495" spans="12:15">
      <c r="L495" s="32"/>
      <c r="O495" s="32"/>
    </row>
    <row r="496" spans="12:15">
      <c r="L496" s="32"/>
      <c r="O496" s="32"/>
    </row>
    <row r="497" spans="12:15">
      <c r="L497" s="32"/>
      <c r="O497" s="32"/>
    </row>
    <row r="498" spans="12:15">
      <c r="L498" s="32"/>
      <c r="O498" s="32"/>
    </row>
    <row r="499" spans="12:15">
      <c r="L499" s="32"/>
      <c r="O499" s="32"/>
    </row>
    <row r="500" spans="12:15">
      <c r="L500" s="32"/>
      <c r="O500" s="32"/>
    </row>
    <row r="501" spans="12:15">
      <c r="L501" s="32"/>
      <c r="O501" s="32"/>
    </row>
    <row r="502" spans="12:15">
      <c r="L502" s="32"/>
      <c r="O502" s="32"/>
    </row>
    <row r="503" spans="12:15">
      <c r="L503" s="32"/>
      <c r="O503" s="32"/>
    </row>
    <row r="504" spans="12:15">
      <c r="L504" s="32"/>
      <c r="O504" s="32"/>
    </row>
    <row r="505" spans="12:15">
      <c r="L505" s="32"/>
      <c r="O505" s="32"/>
    </row>
    <row r="506" spans="12:15">
      <c r="L506" s="32"/>
      <c r="O506" s="32"/>
    </row>
    <row r="507" spans="12:15">
      <c r="L507" s="32"/>
      <c r="O507" s="32"/>
    </row>
    <row r="508" spans="12:15">
      <c r="L508" s="32"/>
      <c r="O508" s="32"/>
    </row>
    <row r="509" spans="12:15">
      <c r="L509" s="32"/>
      <c r="O509" s="32"/>
    </row>
    <row r="510" spans="12:15">
      <c r="L510" s="32"/>
      <c r="O510" s="32"/>
    </row>
    <row r="511" spans="12:15">
      <c r="L511" s="32"/>
      <c r="O511" s="32"/>
    </row>
    <row r="512" spans="12:15">
      <c r="L512" s="32"/>
      <c r="O512" s="32"/>
    </row>
    <row r="513" spans="12:15">
      <c r="L513" s="32"/>
      <c r="O513" s="32"/>
    </row>
    <row r="514" spans="12:15">
      <c r="L514" s="32"/>
      <c r="O514" s="32"/>
    </row>
    <row r="515" spans="12:15">
      <c r="L515" s="32"/>
      <c r="O515" s="32"/>
    </row>
    <row r="516" spans="12:15">
      <c r="L516" s="32"/>
      <c r="O516" s="32"/>
    </row>
    <row r="517" spans="12:15">
      <c r="L517" s="32"/>
      <c r="O517" s="32"/>
    </row>
    <row r="518" spans="12:15">
      <c r="L518" s="32"/>
      <c r="O518" s="32"/>
    </row>
    <row r="519" spans="12:15">
      <c r="L519" s="32"/>
      <c r="O519" s="32"/>
    </row>
    <row r="520" spans="12:15">
      <c r="L520" s="32"/>
      <c r="O520" s="32"/>
    </row>
    <row r="521" spans="12:15">
      <c r="L521" s="32"/>
      <c r="O521" s="32"/>
    </row>
    <row r="522" spans="12:15">
      <c r="L522" s="32"/>
      <c r="O522" s="32"/>
    </row>
    <row r="523" spans="12:15">
      <c r="L523" s="32"/>
      <c r="O523" s="32"/>
    </row>
    <row r="524" spans="12:15">
      <c r="L524" s="32"/>
      <c r="O524" s="32"/>
    </row>
    <row r="525" spans="12:15">
      <c r="L525" s="32"/>
      <c r="O525" s="32"/>
    </row>
    <row r="526" spans="12:15">
      <c r="L526" s="32"/>
      <c r="O526" s="32"/>
    </row>
    <row r="527" spans="12:15">
      <c r="L527" s="32"/>
      <c r="O527" s="32"/>
    </row>
    <row r="528" spans="12:15">
      <c r="L528" s="32"/>
      <c r="O528" s="32"/>
    </row>
    <row r="529" spans="12:15">
      <c r="L529" s="32"/>
      <c r="O529" s="32"/>
    </row>
    <row r="530" spans="12:15">
      <c r="L530" s="32"/>
      <c r="O530" s="32"/>
    </row>
    <row r="531" spans="12:15">
      <c r="L531" s="32"/>
      <c r="O531" s="32"/>
    </row>
    <row r="532" spans="12:15">
      <c r="L532" s="32"/>
      <c r="O532" s="32"/>
    </row>
    <row r="533" spans="12:15">
      <c r="L533" s="32"/>
      <c r="O533" s="32"/>
    </row>
    <row r="534" spans="12:15">
      <c r="L534" s="32"/>
      <c r="O534" s="32"/>
    </row>
    <row r="535" spans="12:15">
      <c r="L535" s="32"/>
      <c r="O535" s="32"/>
    </row>
    <row r="536" spans="12:15">
      <c r="L536" s="32"/>
      <c r="O536" s="32"/>
    </row>
    <row r="537" spans="12:15">
      <c r="L537" s="32"/>
      <c r="O537" s="32"/>
    </row>
    <row r="538" spans="12:15">
      <c r="L538" s="32"/>
      <c r="O538" s="32"/>
    </row>
    <row r="539" spans="12:15">
      <c r="L539" s="32"/>
      <c r="O539" s="32"/>
    </row>
    <row r="540" spans="12:15">
      <c r="L540" s="32"/>
      <c r="O540" s="32"/>
    </row>
    <row r="541" spans="12:15">
      <c r="L541" s="32"/>
      <c r="O541" s="32"/>
    </row>
    <row r="542" spans="12:15">
      <c r="L542" s="32"/>
      <c r="O542" s="32"/>
    </row>
    <row r="543" spans="12:15">
      <c r="L543" s="32"/>
      <c r="O543" s="32"/>
    </row>
    <row r="544" spans="12:15">
      <c r="L544" s="32"/>
      <c r="O544" s="32"/>
    </row>
    <row r="545" spans="12:15">
      <c r="L545" s="32"/>
      <c r="O545" s="32"/>
    </row>
    <row r="546" spans="12:15">
      <c r="L546" s="32"/>
      <c r="O546" s="32"/>
    </row>
    <row r="547" spans="12:15">
      <c r="L547" s="32"/>
      <c r="O547" s="32"/>
    </row>
    <row r="548" spans="12:15">
      <c r="L548" s="32"/>
      <c r="O548" s="32"/>
    </row>
    <row r="549" spans="12:15">
      <c r="L549" s="32"/>
      <c r="O549" s="32"/>
    </row>
    <row r="550" spans="12:15">
      <c r="L550" s="32"/>
      <c r="O550" s="32"/>
    </row>
    <row r="551" spans="12:15">
      <c r="L551" s="32"/>
      <c r="O551" s="32"/>
    </row>
    <row r="552" spans="12:15">
      <c r="L552" s="32"/>
      <c r="O552" s="32"/>
    </row>
    <row r="553" spans="12:15">
      <c r="L553" s="32"/>
      <c r="O553" s="32"/>
    </row>
    <row r="554" spans="12:15">
      <c r="L554" s="32"/>
      <c r="O554" s="32"/>
    </row>
    <row r="555" spans="12:15">
      <c r="L555" s="32"/>
      <c r="O555" s="32"/>
    </row>
    <row r="556" spans="12:15">
      <c r="L556" s="32"/>
      <c r="O556" s="32"/>
    </row>
    <row r="557" spans="12:15">
      <c r="L557" s="32"/>
      <c r="O557" s="32"/>
    </row>
    <row r="558" spans="12:15">
      <c r="L558" s="32"/>
      <c r="O558" s="32"/>
    </row>
    <row r="559" spans="12:15">
      <c r="L559" s="32"/>
      <c r="O559" s="32"/>
    </row>
    <row r="560" spans="12:15">
      <c r="L560" s="32"/>
      <c r="O560" s="32"/>
    </row>
    <row r="561" spans="12:15">
      <c r="L561" s="32"/>
      <c r="O561" s="32"/>
    </row>
    <row r="562" spans="12:15">
      <c r="L562" s="32"/>
      <c r="O562" s="32"/>
    </row>
    <row r="563" spans="12:15">
      <c r="L563" s="32"/>
      <c r="O563" s="32"/>
    </row>
    <row r="564" spans="12:15">
      <c r="L564" s="32"/>
      <c r="O564" s="32"/>
    </row>
    <row r="565" spans="12:15">
      <c r="L565" s="32"/>
      <c r="O565" s="32"/>
    </row>
    <row r="566" spans="12:15">
      <c r="L566" s="32"/>
      <c r="O566" s="32"/>
    </row>
    <row r="567" spans="12:15">
      <c r="L567" s="32"/>
      <c r="O567" s="32"/>
    </row>
    <row r="568" spans="12:15">
      <c r="L568" s="32"/>
      <c r="O568" s="32"/>
    </row>
    <row r="569" spans="12:15">
      <c r="L569" s="32"/>
      <c r="O569" s="32"/>
    </row>
    <row r="570" spans="12:15">
      <c r="L570" s="32"/>
      <c r="O570" s="32"/>
    </row>
    <row r="571" spans="12:15">
      <c r="L571" s="32"/>
      <c r="O571" s="32"/>
    </row>
    <row r="572" spans="12:15">
      <c r="L572" s="32"/>
      <c r="O572" s="32"/>
    </row>
    <row r="573" spans="12:15">
      <c r="L573" s="32"/>
      <c r="O573" s="32"/>
    </row>
    <row r="574" spans="12:15">
      <c r="L574" s="32"/>
      <c r="O574" s="32"/>
    </row>
    <row r="575" spans="12:15">
      <c r="L575" s="32"/>
      <c r="O575" s="32"/>
    </row>
    <row r="576" spans="12:15">
      <c r="L576" s="32"/>
      <c r="O576" s="32"/>
    </row>
    <row r="577" spans="12:15">
      <c r="L577" s="32"/>
      <c r="O577" s="32"/>
    </row>
    <row r="578" spans="12:15">
      <c r="L578" s="32"/>
      <c r="O578" s="32"/>
    </row>
    <row r="579" spans="12:15">
      <c r="L579" s="32"/>
      <c r="O579" s="32"/>
    </row>
    <row r="580" spans="12:15">
      <c r="L580" s="32"/>
      <c r="O580" s="32"/>
    </row>
    <row r="581" spans="12:15">
      <c r="L581" s="32"/>
      <c r="O581" s="32"/>
    </row>
    <row r="582" spans="12:15">
      <c r="L582" s="32"/>
    </row>
    <row r="583" spans="12:15">
      <c r="L583" s="32"/>
    </row>
    <row r="584" spans="12:15">
      <c r="L584" s="32"/>
    </row>
    <row r="585" spans="12:15">
      <c r="L585" s="32"/>
    </row>
    <row r="586" spans="12:15">
      <c r="L586" s="32"/>
    </row>
    <row r="587" spans="12:15">
      <c r="L587" s="32"/>
    </row>
    <row r="588" spans="12:15">
      <c r="L588" s="32"/>
    </row>
    <row r="589" spans="12:15">
      <c r="L589" s="32"/>
    </row>
    <row r="590" spans="12:15">
      <c r="L590" s="32"/>
    </row>
    <row r="591" spans="12:15">
      <c r="L591" s="32"/>
    </row>
    <row r="592" spans="12:15">
      <c r="L592" s="32"/>
    </row>
    <row r="593" spans="12:12">
      <c r="L593" s="32"/>
    </row>
    <row r="594" spans="12:12">
      <c r="L594" s="32"/>
    </row>
    <row r="595" spans="12:12">
      <c r="L595" s="32"/>
    </row>
    <row r="596" spans="12:12">
      <c r="L596" s="32"/>
    </row>
    <row r="597" spans="12:12">
      <c r="L597" s="32"/>
    </row>
    <row r="598" spans="12:12">
      <c r="L598" s="32"/>
    </row>
    <row r="599" spans="12:12">
      <c r="L599" s="32"/>
    </row>
    <row r="600" spans="12:12">
      <c r="L600" s="32"/>
    </row>
    <row r="601" spans="12:12">
      <c r="L601" s="32"/>
    </row>
    <row r="602" spans="12:12">
      <c r="L602" s="32"/>
    </row>
    <row r="603" spans="12:12">
      <c r="L603" s="32"/>
    </row>
    <row r="604" spans="12:12">
      <c r="L604" s="32"/>
    </row>
    <row r="605" spans="12:12">
      <c r="L605" s="32"/>
    </row>
    <row r="606" spans="12:12">
      <c r="L606" s="32"/>
    </row>
    <row r="607" spans="12:12">
      <c r="L607" s="32"/>
    </row>
    <row r="608" spans="12:12">
      <c r="L608" s="32"/>
    </row>
    <row r="609" spans="12:12">
      <c r="L609" s="32"/>
    </row>
    <row r="610" spans="12:12">
      <c r="L610" s="32"/>
    </row>
    <row r="611" spans="12:12">
      <c r="L611" s="32"/>
    </row>
    <row r="612" spans="12:12">
      <c r="L612" s="32"/>
    </row>
    <row r="613" spans="12:12">
      <c r="L613" s="32"/>
    </row>
    <row r="614" spans="12:12">
      <c r="L614" s="32"/>
    </row>
    <row r="615" spans="12:12">
      <c r="L615" s="32"/>
    </row>
    <row r="616" spans="12:12">
      <c r="L616" s="32"/>
    </row>
    <row r="617" spans="12:12">
      <c r="L617" s="32"/>
    </row>
    <row r="618" spans="12:12">
      <c r="L618" s="32"/>
    </row>
    <row r="619" spans="12:12">
      <c r="L619" s="32"/>
    </row>
    <row r="620" spans="12:12">
      <c r="L620" s="32"/>
    </row>
    <row r="621" spans="12:12">
      <c r="L621" s="32"/>
    </row>
    <row r="622" spans="12:12">
      <c r="L622" s="32"/>
    </row>
    <row r="623" spans="12:12">
      <c r="L623" s="32"/>
    </row>
    <row r="624" spans="12:12">
      <c r="L624" s="32"/>
    </row>
    <row r="625" spans="12:12">
      <c r="L625" s="32"/>
    </row>
    <row r="626" spans="12:12">
      <c r="L626" s="32"/>
    </row>
    <row r="627" spans="12:12">
      <c r="L627" s="32"/>
    </row>
    <row r="628" spans="12:12">
      <c r="L628" s="32"/>
    </row>
    <row r="629" spans="12:12">
      <c r="L629" s="32"/>
    </row>
    <row r="630" spans="12:12">
      <c r="L630" s="32"/>
    </row>
    <row r="631" spans="12:12">
      <c r="L631" s="32"/>
    </row>
    <row r="632" spans="12:12">
      <c r="L632" s="32"/>
    </row>
    <row r="633" spans="12:12">
      <c r="L633" s="32"/>
    </row>
    <row r="634" spans="12:12">
      <c r="L634" s="32"/>
    </row>
    <row r="635" spans="12:12">
      <c r="L635" s="32"/>
    </row>
    <row r="636" spans="12:12">
      <c r="L636" s="32"/>
    </row>
    <row r="637" spans="12:12">
      <c r="L637" s="32"/>
    </row>
    <row r="638" spans="12:12">
      <c r="L638" s="32"/>
    </row>
    <row r="639" spans="12:12">
      <c r="L639" s="32"/>
    </row>
    <row r="640" spans="12:12">
      <c r="L640" s="32"/>
    </row>
    <row r="641" spans="12:12">
      <c r="L641" s="32"/>
    </row>
    <row r="642" spans="12:12">
      <c r="L642" s="32"/>
    </row>
    <row r="643" spans="12:12">
      <c r="L643" s="32"/>
    </row>
    <row r="644" spans="12:12">
      <c r="L644" s="32"/>
    </row>
    <row r="645" spans="12:12">
      <c r="L645" s="32"/>
    </row>
    <row r="646" spans="12:12">
      <c r="L646" s="32"/>
    </row>
    <row r="647" spans="12:12">
      <c r="L647" s="32"/>
    </row>
    <row r="648" spans="12:12">
      <c r="L648" s="32"/>
    </row>
    <row r="649" spans="12:12">
      <c r="L649" s="32"/>
    </row>
    <row r="650" spans="12:12">
      <c r="L650" s="32"/>
    </row>
    <row r="651" spans="12:12">
      <c r="L651" s="32"/>
    </row>
    <row r="652" spans="12:12">
      <c r="L652" s="32"/>
    </row>
    <row r="653" spans="12:12">
      <c r="L653" s="32"/>
    </row>
    <row r="654" spans="12:12">
      <c r="L654" s="32"/>
    </row>
    <row r="655" spans="12:12">
      <c r="L655" s="32"/>
    </row>
    <row r="656" spans="12:12">
      <c r="L656" s="32"/>
    </row>
    <row r="657" spans="12:12">
      <c r="L657" s="32"/>
    </row>
    <row r="658" spans="12:12">
      <c r="L658" s="32"/>
    </row>
    <row r="659" spans="12:12">
      <c r="L659" s="32"/>
    </row>
    <row r="660" spans="12:12">
      <c r="L660" s="32"/>
    </row>
    <row r="661" spans="12:12">
      <c r="L661" s="32"/>
    </row>
    <row r="662" spans="12:12">
      <c r="L662" s="32"/>
    </row>
    <row r="663" spans="12:12">
      <c r="L663" s="32"/>
    </row>
    <row r="664" spans="12:12">
      <c r="L664" s="32"/>
    </row>
    <row r="665" spans="12:12">
      <c r="L665" s="32"/>
    </row>
    <row r="666" spans="12:12">
      <c r="L666" s="32"/>
    </row>
    <row r="667" spans="12:12">
      <c r="L667" s="32"/>
    </row>
    <row r="668" spans="12:12">
      <c r="L668" s="32"/>
    </row>
    <row r="669" spans="12:12">
      <c r="L669" s="32"/>
    </row>
    <row r="670" spans="12:12">
      <c r="L670" s="32"/>
    </row>
    <row r="671" spans="12:12">
      <c r="L671" s="32"/>
    </row>
    <row r="672" spans="12:12">
      <c r="L672" s="32"/>
    </row>
    <row r="673" spans="12:12">
      <c r="L673" s="32"/>
    </row>
    <row r="674" spans="12:12">
      <c r="L674" s="32"/>
    </row>
    <row r="675" spans="12:12">
      <c r="L675" s="32"/>
    </row>
    <row r="676" spans="12:12">
      <c r="L676" s="32"/>
    </row>
    <row r="677" spans="12:12">
      <c r="L677" s="32"/>
    </row>
    <row r="678" spans="12:12">
      <c r="L678" s="32"/>
    </row>
    <row r="679" spans="12:12">
      <c r="L679" s="32"/>
    </row>
    <row r="680" spans="12:12">
      <c r="L680" s="32"/>
    </row>
    <row r="681" spans="12:12">
      <c r="L681" s="32"/>
    </row>
    <row r="682" spans="12:12">
      <c r="L682" s="32"/>
    </row>
    <row r="683" spans="12:12">
      <c r="L683" s="32"/>
    </row>
    <row r="684" spans="12:12">
      <c r="L684" s="32"/>
    </row>
    <row r="685" spans="12:12">
      <c r="L685" s="32"/>
    </row>
    <row r="686" spans="12:12">
      <c r="L686" s="32"/>
    </row>
    <row r="687" spans="12:12">
      <c r="L687" s="32"/>
    </row>
    <row r="688" spans="12:12">
      <c r="L688" s="32"/>
    </row>
    <row r="689" spans="12:12">
      <c r="L689" s="32"/>
    </row>
    <row r="690" spans="12:12">
      <c r="L690" s="32"/>
    </row>
    <row r="691" spans="12:12">
      <c r="L691" s="32"/>
    </row>
    <row r="692" spans="12:12">
      <c r="L692" s="32"/>
    </row>
    <row r="693" spans="12:12">
      <c r="L693" s="32"/>
    </row>
    <row r="694" spans="12:12">
      <c r="L694" s="32"/>
    </row>
    <row r="695" spans="12:12">
      <c r="L695" s="32"/>
    </row>
    <row r="696" spans="12:12">
      <c r="L696" s="32"/>
    </row>
    <row r="697" spans="12:12">
      <c r="L697" s="32"/>
    </row>
    <row r="698" spans="12:12">
      <c r="L698" s="32"/>
    </row>
    <row r="699" spans="12:12">
      <c r="L699" s="32"/>
    </row>
    <row r="700" spans="12:12">
      <c r="L700" s="32"/>
    </row>
    <row r="701" spans="12:12">
      <c r="L701" s="32"/>
    </row>
    <row r="702" spans="12:12">
      <c r="L702" s="32"/>
    </row>
    <row r="703" spans="12:12">
      <c r="L703" s="32"/>
    </row>
    <row r="704" spans="12:12">
      <c r="L704" s="32"/>
    </row>
    <row r="705" spans="12:12">
      <c r="L705" s="32"/>
    </row>
    <row r="706" spans="12:12">
      <c r="L706" s="32"/>
    </row>
    <row r="707" spans="12:12">
      <c r="L707" s="32"/>
    </row>
    <row r="708" spans="12:12">
      <c r="L708" s="32"/>
    </row>
    <row r="709" spans="12:12">
      <c r="L709" s="32"/>
    </row>
    <row r="710" spans="12:12">
      <c r="L710" s="32"/>
    </row>
    <row r="711" spans="12:12">
      <c r="L711" s="32"/>
    </row>
    <row r="712" spans="12:12">
      <c r="L712" s="32"/>
    </row>
    <row r="713" spans="12:12">
      <c r="L713" s="32"/>
    </row>
    <row r="714" spans="12:12">
      <c r="L714" s="32"/>
    </row>
    <row r="715" spans="12:12">
      <c r="L715" s="32"/>
    </row>
    <row r="716" spans="12:12">
      <c r="L716" s="32"/>
    </row>
    <row r="717" spans="12:12">
      <c r="L717" s="32"/>
    </row>
    <row r="718" spans="12:12">
      <c r="L718" s="32"/>
    </row>
    <row r="719" spans="12:12">
      <c r="L719" s="32"/>
    </row>
    <row r="720" spans="12:12">
      <c r="L720" s="32"/>
    </row>
    <row r="721" spans="12:12">
      <c r="L721" s="32"/>
    </row>
    <row r="722" spans="12:12">
      <c r="L722" s="32"/>
    </row>
    <row r="723" spans="12:12">
      <c r="L723" s="32"/>
    </row>
    <row r="724" spans="12:12">
      <c r="L724" s="32"/>
    </row>
    <row r="725" spans="12:12">
      <c r="L725" s="32"/>
    </row>
    <row r="726" spans="12:12">
      <c r="L726" s="32"/>
    </row>
  </sheetData>
  <sortState xmlns:xlrd2="http://schemas.microsoft.com/office/spreadsheetml/2017/richdata2" ref="L8:L20">
    <sortCondition ref="L8"/>
  </sortState>
  <mergeCells count="2">
    <mergeCell ref="B1:I1"/>
    <mergeCell ref="B3:C3"/>
  </mergeCells>
  <pageMargins left="0.7" right="0.7" top="0.75" bottom="0.75" header="0.3" footer="0.3"/>
  <pageSetup paperSize="256" scale="18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Button_click">
                <anchor moveWithCells="1" sizeWithCells="1">
                  <from>
                    <xdr:col>1</xdr:col>
                    <xdr:colOff>876300</xdr:colOff>
                    <xdr:row>11</xdr:row>
                    <xdr:rowOff>38100</xdr:rowOff>
                  </from>
                  <to>
                    <xdr:col>3</xdr:col>
                    <xdr:colOff>38100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Inputs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Matthew Kudija</cp:lastModifiedBy>
  <cp:lastPrinted>2017-08-08T16:13:26Z</cp:lastPrinted>
  <dcterms:created xsi:type="dcterms:W3CDTF">2013-12-13T17:46:19Z</dcterms:created>
  <dcterms:modified xsi:type="dcterms:W3CDTF">2020-04-28T20:46:22Z</dcterms:modified>
</cp:coreProperties>
</file>
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kudija/Documents/GitHub/blog/content/downloads/code/xlwings-mortgage/"/>
    </mc:Choice>
  </mc:AlternateContent>
  <xr:revisionPtr revIDLastSave="0" documentId="13_ncr:1_{CB4EB245-6909-F54E-A97B-A2512D5483CC}" xr6:coauthVersionLast="36" xr6:coauthVersionMax="36" xr10:uidLastSave="{00000000-0000-0000-0000-000000000000}"/>
  <bookViews>
    <workbookView xWindow="40" yWindow="460" windowWidth="28800" windowHeight="17460" xr2:uid="{00000000-000D-0000-FFFF-FFFF00000000}"/>
  </bookViews>
  <sheets>
    <sheet name="Inputs" sheetId="1" r:id="rId1"/>
  </sheets>
  <functionGroups builtInGroupCount="19"/>
  <definedNames>
    <definedName name="a">#REF!</definedName>
    <definedName name="aa">#REF!</definedName>
    <definedName name="AircraftType">#REF!</definedName>
    <definedName name="asdf">#REF!</definedName>
    <definedName name="Dataset">#REF!</definedName>
    <definedName name="MissingComponents">#REF!</definedName>
    <definedName name="n">Inputs!#REF!</definedName>
    <definedName name="netting">#REF!</definedName>
    <definedName name="returnCondition">#REF!</definedName>
    <definedName name="single_cell">#REF!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Inputs!$A$1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test_range">#REF!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" i="1" l="1"/>
  <c r="P8" i="1" l="1"/>
  <c r="P7" i="1"/>
  <c r="S8" i="1"/>
  <c r="S7" i="1"/>
  <c r="M4" i="1"/>
  <c r="L8" i="1"/>
  <c r="L12" i="1" s="1"/>
  <c r="C5" i="1"/>
  <c r="L6" i="1"/>
</calcChain>
</file>

<file path=xl/sharedStrings.xml><?xml version="1.0" encoding="utf-8"?>
<sst xmlns="http://schemas.openxmlformats.org/spreadsheetml/2006/main" count="34" uniqueCount="33">
  <si>
    <t>Month</t>
  </si>
  <si>
    <t>Principal</t>
  </si>
  <si>
    <t>Period</t>
  </si>
  <si>
    <t>BeginBalance</t>
  </si>
  <si>
    <t>Payment</t>
  </si>
  <si>
    <t>Interest</t>
  </si>
  <si>
    <t>AddPayment</t>
  </si>
  <si>
    <t>EndBalance</t>
  </si>
  <si>
    <t>Mortgage Calculator</t>
  </si>
  <si>
    <t>Inputs</t>
  </si>
  <si>
    <t xml:space="preserve">Principal: </t>
  </si>
  <si>
    <t xml:space="preserve">Interest Rate: </t>
  </si>
  <si>
    <t xml:space="preserve">Term: </t>
  </si>
  <si>
    <t xml:space="preserve">Start Date: </t>
  </si>
  <si>
    <t xml:space="preserve">Extra Pmt: </t>
  </si>
  <si>
    <t xml:space="preserve">Payments/yr: </t>
  </si>
  <si>
    <t xml:space="preserve">Payoff Date: </t>
  </si>
  <si>
    <t xml:space="preserve">Purchase Price: </t>
  </si>
  <si>
    <t xml:space="preserve">Down Payment: </t>
  </si>
  <si>
    <t xml:space="preserve">Property Taxes: </t>
  </si>
  <si>
    <t xml:space="preserve">P&amp;I: </t>
  </si>
  <si>
    <t xml:space="preserve">Insurance: </t>
  </si>
  <si>
    <t xml:space="preserve">Monthly Pmt: </t>
  </si>
  <si>
    <t>- financial model of renting 3272</t>
  </si>
  <si>
    <t>- update budget with this house</t>
  </si>
  <si>
    <t>- get loan options from Mike</t>
  </si>
  <si>
    <t>- talk to Dad about $ down pmt</t>
  </si>
  <si>
    <t>$/SqFt</t>
  </si>
  <si>
    <t>SqFt</t>
  </si>
  <si>
    <t>Taxes</t>
  </si>
  <si>
    <t>Net Annual Tax</t>
  </si>
  <si>
    <t>Assessed Value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</si>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</sst>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  <numFmt numFmtId="165" formatCode="_(&quot;$&quot;* #,##0_);_(&quot;$&quot;* \(#,##0\);_(&quot;$&quot;* &quot;-&quot;??_);_(@_)"/>
    <numFmt numFmtId="166" formatCode="0.0%"/>
    <numFmt numFmtId="167" formatCode="yyyy\-mm\-dd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1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000080"/>
      <name val="GE Inspira Sans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4"/>
      <color theme="0"/>
      <name val="Calibri"/>
      <family val="2"/>
    </font>
    <font>
      <sz val="11"/>
      <color rgb="FF63666A"/>
      <name val="Calibri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745AB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8">
    <xf numFmtId="0" fontId="0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8" fillId="0" borderId="0" xfId="0" applyNumberFormat="1" applyFont="1" applyAlignment="1">
      <alignment wrapText="1"/>
    </xf>
    <xf numFmtId="0" fontId="7" fillId="0" borderId="0" xfId="0" applyFont="1"/>
    <xf numFmtId="0" fontId="7" fillId="0" borderId="0" xfId="0" applyNumberFormat="1" applyFont="1" applyAlignment="1">
      <alignment wrapText="1"/>
    </xf>
    <xf numFmtId="0" fontId="10" fillId="0" borderId="0" xfId="0" applyNumberFormat="1" applyFont="1" applyAlignment="1">
      <alignment wrapText="1"/>
    </xf>
    <xf numFmtId="0" fontId="8" fillId="0" borderId="0" xfId="0" applyFont="1"/>
    <xf numFmtId="165" fontId="10" fillId="0" borderId="0" xfId="3" applyNumberFormat="1" applyFont="1" applyFill="1"/>
    <xf numFmtId="165" fontId="10" fillId="0" borderId="0" xfId="3" applyNumberFormat="1" applyFont="1" applyFill="1" applyAlignment="1">
      <alignment horizontal="center"/>
    </xf>
    <xf numFmtId="165" fontId="10" fillId="0" borderId="0" xfId="3" applyNumberFormat="1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3" fontId="7" fillId="0" borderId="0" xfId="0" applyNumberFormat="1" applyFont="1"/>
    <xf numFmtId="0" fontId="10" fillId="0" borderId="0" xfId="0" applyFont="1" applyAlignment="1">
      <alignment horizontal="right"/>
    </xf>
    <xf numFmtId="5" fontId="7" fillId="2" borderId="1" xfId="3" applyNumberFormat="1" applyFont="1" applyFill="1" applyBorder="1" applyAlignment="1">
      <alignment horizontal="center"/>
    </xf>
    <xf numFmtId="166" fontId="7" fillId="2" borderId="1" xfId="5" applyNumberFormat="1" applyFont="1" applyFill="1" applyBorder="1" applyAlignment="1">
      <alignment horizontal="center"/>
    </xf>
    <xf numFmtId="3" fontId="7" fillId="0" borderId="0" xfId="3" applyNumberFormat="1" applyFont="1"/>
    <xf numFmtId="164" fontId="7" fillId="4" borderId="0" xfId="0" applyNumberFormat="1" applyFont="1" applyFill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2" fontId="10" fillId="0" borderId="0" xfId="0" applyNumberFormat="1" applyFont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0" xfId="0" applyFont="1" applyBorder="1"/>
    <xf numFmtId="49" fontId="7" fillId="2" borderId="1" xfId="0" applyNumberFormat="1" applyFont="1" applyFill="1" applyBorder="1" applyAlignment="1">
      <alignment horizontal="center"/>
    </xf>
    <xf numFmtId="167" fontId="7" fillId="2" borderId="1" xfId="0" applyNumberFormat="1" applyFont="1" applyFill="1" applyBorder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0" fillId="0" borderId="0" xfId="0" applyFont="1"/>
    <xf numFmtId="165" fontId="7" fillId="0" borderId="0" xfId="3" applyNumberFormat="1" applyFont="1" applyAlignment="1">
      <alignment horizontal="center"/>
    </xf>
    <xf numFmtId="2" fontId="8" fillId="0" borderId="0" xfId="0" applyNumberFormat="1" applyFont="1"/>
    <xf numFmtId="5" fontId="7" fillId="2" borderId="1" xfId="0" applyNumberFormat="1" applyFont="1" applyFill="1" applyBorder="1" applyAlignment="1">
      <alignment horizontal="center"/>
    </xf>
    <xf numFmtId="165" fontId="7" fillId="2" borderId="1" xfId="3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0" fontId="7" fillId="0" borderId="0" xfId="0" quotePrefix="1" applyFont="1"/>
    <xf numFmtId="7" fontId="7" fillId="0" borderId="0" xfId="0" applyNumberFormat="1" applyFont="1"/>
    <xf numFmtId="1" fontId="7" fillId="0" borderId="0" xfId="0" applyNumberFormat="1" applyFont="1"/>
    <xf numFmtId="0" fontId="9" fillId="3" borderId="2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10" fontId="7" fillId="0" borderId="0" xfId="5" applyNumberFormat="1" applyFont="1"/>
  </cellXfs>
  <cellStyles count="98">
    <cellStyle name="_Heading_IS by Div Summary 1998-2002" xfId="4" xr:uid="{00000000-0005-0000-0000-000000000000}"/>
    <cellStyle name="Currency" xfId="3" builtinId="4"/>
    <cellStyle name="Currency 2" xfId="97" xr:uid="{D2E2CD3F-699F-554F-A36E-5512CDD9267E}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Normal" xfId="0" builtinId="0"/>
    <cellStyle name="Normal 10 2" xfId="1" xr:uid="{00000000-0005-0000-0000-00005F000000}"/>
    <cellStyle name="Normal 10 2 2" xfId="2" xr:uid="{00000000-0005-0000-0000-000060000000}"/>
    <cellStyle name="Normal 2" xfId="96" xr:uid="{CA4901C8-E17F-A74A-ABB9-89326C60E3B0}"/>
    <cellStyle name="Percent" xfId="5" builtinId="5"/>
  </cellStyles>
  <dxfs count="0"/>
  <tableStyles count="0" defaultTableStyle="TableStyleMedium2" defaultPivotStyle="PivotStyleLight16"/>
  <colors>
    <mruColors>
      <color rgb="FF63666A"/>
      <color rgb="FF00BF6F"/>
      <color rgb="FF005EB8"/>
      <color rgb="FFB1B3B3"/>
      <color rgb="FFFE5000"/>
      <color rgb="FF006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Inputs!$B$18:$B$446</c:f>
              <c:numCache>
                <c:formatCode>yyyy\-mm\-dd</c:formatCode>
                <c:ptCount val="429"/>
                <c:pt idx="0">
                  <c:v>43184</c:v>
                </c:pt>
                <c:pt idx="1">
                  <c:v>43215</c:v>
                </c:pt>
                <c:pt idx="2">
                  <c:v>43245</c:v>
                </c:pt>
                <c:pt idx="3">
                  <c:v>43276</c:v>
                </c:pt>
                <c:pt idx="4">
                  <c:v>43306</c:v>
                </c:pt>
                <c:pt idx="5">
                  <c:v>43337</c:v>
                </c:pt>
                <c:pt idx="6">
                  <c:v>43368</c:v>
                </c:pt>
                <c:pt idx="7">
                  <c:v>43398</c:v>
                </c:pt>
                <c:pt idx="8">
                  <c:v>43429</c:v>
                </c:pt>
                <c:pt idx="9">
                  <c:v>43459</c:v>
                </c:pt>
                <c:pt idx="10">
                  <c:v>43490</c:v>
                </c:pt>
                <c:pt idx="11">
                  <c:v>43521</c:v>
                </c:pt>
                <c:pt idx="12">
                  <c:v>43549</c:v>
                </c:pt>
                <c:pt idx="13">
                  <c:v>43580</c:v>
                </c:pt>
                <c:pt idx="14">
                  <c:v>43610</c:v>
                </c:pt>
                <c:pt idx="15">
                  <c:v>43641</c:v>
                </c:pt>
                <c:pt idx="16">
                  <c:v>43671</c:v>
                </c:pt>
                <c:pt idx="17">
                  <c:v>43702</c:v>
                </c:pt>
                <c:pt idx="18">
                  <c:v>43733</c:v>
                </c:pt>
                <c:pt idx="19">
                  <c:v>43763</c:v>
                </c:pt>
                <c:pt idx="20">
                  <c:v>43794</c:v>
                </c:pt>
                <c:pt idx="21">
                  <c:v>43824</c:v>
                </c:pt>
                <c:pt idx="22">
                  <c:v>43855</c:v>
                </c:pt>
                <c:pt idx="23">
                  <c:v>43886</c:v>
                </c:pt>
                <c:pt idx="24">
                  <c:v>43915</c:v>
                </c:pt>
                <c:pt idx="25">
                  <c:v>43946</c:v>
                </c:pt>
                <c:pt idx="26">
                  <c:v>43976</c:v>
                </c:pt>
                <c:pt idx="27">
                  <c:v>44007</c:v>
                </c:pt>
                <c:pt idx="28">
                  <c:v>44037</c:v>
                </c:pt>
                <c:pt idx="29">
                  <c:v>44068</c:v>
                </c:pt>
                <c:pt idx="30">
                  <c:v>44099</c:v>
                </c:pt>
                <c:pt idx="31">
                  <c:v>44129</c:v>
                </c:pt>
                <c:pt idx="32">
                  <c:v>44160</c:v>
                </c:pt>
                <c:pt idx="33">
                  <c:v>44190</c:v>
                </c:pt>
                <c:pt idx="34">
                  <c:v>44221</c:v>
                </c:pt>
                <c:pt idx="35">
                  <c:v>44252</c:v>
                </c:pt>
                <c:pt idx="36">
                  <c:v>44280</c:v>
                </c:pt>
                <c:pt idx="37">
                  <c:v>44311</c:v>
                </c:pt>
                <c:pt idx="38">
                  <c:v>44341</c:v>
                </c:pt>
                <c:pt idx="39">
                  <c:v>44372</c:v>
                </c:pt>
                <c:pt idx="40">
                  <c:v>44402</c:v>
                </c:pt>
                <c:pt idx="41">
                  <c:v>44433</c:v>
                </c:pt>
                <c:pt idx="42">
                  <c:v>44464</c:v>
                </c:pt>
                <c:pt idx="43">
                  <c:v>44494</c:v>
                </c:pt>
                <c:pt idx="44">
                  <c:v>44525</c:v>
                </c:pt>
                <c:pt idx="45">
                  <c:v>44555</c:v>
                </c:pt>
                <c:pt idx="46">
                  <c:v>44586</c:v>
                </c:pt>
                <c:pt idx="47">
                  <c:v>44617</c:v>
                </c:pt>
                <c:pt idx="48">
                  <c:v>44645</c:v>
                </c:pt>
                <c:pt idx="49">
                  <c:v>44676</c:v>
                </c:pt>
                <c:pt idx="50">
                  <c:v>44706</c:v>
                </c:pt>
                <c:pt idx="51">
                  <c:v>44737</c:v>
                </c:pt>
                <c:pt idx="52">
                  <c:v>44767</c:v>
                </c:pt>
                <c:pt idx="53">
                  <c:v>44798</c:v>
                </c:pt>
                <c:pt idx="54">
                  <c:v>44829</c:v>
                </c:pt>
                <c:pt idx="55">
                  <c:v>44859</c:v>
                </c:pt>
                <c:pt idx="56">
                  <c:v>44890</c:v>
                </c:pt>
                <c:pt idx="57">
                  <c:v>44920</c:v>
                </c:pt>
                <c:pt idx="58">
                  <c:v>44951</c:v>
                </c:pt>
                <c:pt idx="59">
                  <c:v>44982</c:v>
                </c:pt>
                <c:pt idx="60">
                  <c:v>45010</c:v>
                </c:pt>
                <c:pt idx="61">
                  <c:v>45041</c:v>
                </c:pt>
                <c:pt idx="62">
                  <c:v>45071</c:v>
                </c:pt>
                <c:pt idx="63">
                  <c:v>45102</c:v>
                </c:pt>
                <c:pt idx="64">
                  <c:v>45132</c:v>
                </c:pt>
                <c:pt idx="65">
                  <c:v>45163</c:v>
                </c:pt>
                <c:pt idx="66">
                  <c:v>45194</c:v>
                </c:pt>
                <c:pt idx="67">
                  <c:v>45224</c:v>
                </c:pt>
                <c:pt idx="68">
                  <c:v>45255</c:v>
                </c:pt>
                <c:pt idx="69">
                  <c:v>45285</c:v>
                </c:pt>
                <c:pt idx="70">
                  <c:v>45316</c:v>
                </c:pt>
                <c:pt idx="71">
                  <c:v>45347</c:v>
                </c:pt>
                <c:pt idx="72">
                  <c:v>45376</c:v>
                </c:pt>
                <c:pt idx="73">
                  <c:v>45407</c:v>
                </c:pt>
                <c:pt idx="74">
                  <c:v>45437</c:v>
                </c:pt>
                <c:pt idx="75">
                  <c:v>45468</c:v>
                </c:pt>
                <c:pt idx="76">
                  <c:v>45498</c:v>
                </c:pt>
                <c:pt idx="77">
                  <c:v>45529</c:v>
                </c:pt>
                <c:pt idx="78">
                  <c:v>45560</c:v>
                </c:pt>
                <c:pt idx="79">
                  <c:v>45590</c:v>
                </c:pt>
                <c:pt idx="80">
                  <c:v>45621</c:v>
                </c:pt>
                <c:pt idx="81">
                  <c:v>45651</c:v>
                </c:pt>
                <c:pt idx="82">
                  <c:v>45682</c:v>
                </c:pt>
                <c:pt idx="83">
                  <c:v>45713</c:v>
                </c:pt>
                <c:pt idx="84">
                  <c:v>45741</c:v>
                </c:pt>
                <c:pt idx="85">
                  <c:v>45772</c:v>
                </c:pt>
                <c:pt idx="86">
                  <c:v>45802</c:v>
                </c:pt>
                <c:pt idx="87">
                  <c:v>45833</c:v>
                </c:pt>
                <c:pt idx="88">
                  <c:v>45863</c:v>
                </c:pt>
                <c:pt idx="89">
                  <c:v>45894</c:v>
                </c:pt>
                <c:pt idx="90">
                  <c:v>45925</c:v>
                </c:pt>
                <c:pt idx="91">
                  <c:v>45955</c:v>
                </c:pt>
                <c:pt idx="92">
                  <c:v>45986</c:v>
                </c:pt>
                <c:pt idx="93">
                  <c:v>46016</c:v>
                </c:pt>
                <c:pt idx="94">
                  <c:v>46047</c:v>
                </c:pt>
                <c:pt idx="95">
                  <c:v>46078</c:v>
                </c:pt>
                <c:pt idx="96">
                  <c:v>46106</c:v>
                </c:pt>
                <c:pt idx="97">
                  <c:v>46137</c:v>
                </c:pt>
                <c:pt idx="98">
                  <c:v>46167</c:v>
                </c:pt>
                <c:pt idx="99">
                  <c:v>46198</c:v>
                </c:pt>
                <c:pt idx="100">
                  <c:v>46228</c:v>
                </c:pt>
                <c:pt idx="101">
                  <c:v>46259</c:v>
                </c:pt>
                <c:pt idx="102">
                  <c:v>46290</c:v>
                </c:pt>
                <c:pt idx="103">
                  <c:v>46320</c:v>
                </c:pt>
                <c:pt idx="104">
                  <c:v>46351</c:v>
                </c:pt>
                <c:pt idx="105">
                  <c:v>46381</c:v>
                </c:pt>
                <c:pt idx="106">
                  <c:v>46412</c:v>
                </c:pt>
                <c:pt idx="107">
                  <c:v>46443</c:v>
                </c:pt>
                <c:pt idx="108">
                  <c:v>46471</c:v>
                </c:pt>
                <c:pt idx="109">
                  <c:v>46502</c:v>
                </c:pt>
                <c:pt idx="110">
                  <c:v>46532</c:v>
                </c:pt>
                <c:pt idx="111">
                  <c:v>46563</c:v>
                </c:pt>
                <c:pt idx="112">
                  <c:v>46593</c:v>
                </c:pt>
                <c:pt idx="113">
                  <c:v>46624</c:v>
                </c:pt>
                <c:pt idx="114">
                  <c:v>46655</c:v>
                </c:pt>
                <c:pt idx="115">
                  <c:v>46685</c:v>
                </c:pt>
                <c:pt idx="116">
                  <c:v>46716</c:v>
                </c:pt>
                <c:pt idx="117">
                  <c:v>46746</c:v>
                </c:pt>
                <c:pt idx="118">
                  <c:v>46777</c:v>
                </c:pt>
                <c:pt idx="119">
                  <c:v>46808</c:v>
                </c:pt>
                <c:pt idx="120">
                  <c:v>46837</c:v>
                </c:pt>
                <c:pt idx="121">
                  <c:v>46868</c:v>
                </c:pt>
                <c:pt idx="122">
                  <c:v>46898</c:v>
                </c:pt>
                <c:pt idx="123">
                  <c:v>46929</c:v>
                </c:pt>
                <c:pt idx="124">
                  <c:v>46959</c:v>
                </c:pt>
                <c:pt idx="125">
                  <c:v>46990</c:v>
                </c:pt>
                <c:pt idx="126">
                  <c:v>47021</c:v>
                </c:pt>
                <c:pt idx="127">
                  <c:v>47051</c:v>
                </c:pt>
                <c:pt idx="128">
                  <c:v>47082</c:v>
                </c:pt>
                <c:pt idx="129">
                  <c:v>47112</c:v>
                </c:pt>
                <c:pt idx="130">
                  <c:v>47143</c:v>
                </c:pt>
                <c:pt idx="131">
                  <c:v>47174</c:v>
                </c:pt>
                <c:pt idx="132">
                  <c:v>47202</c:v>
                </c:pt>
                <c:pt idx="133">
                  <c:v>47233</c:v>
                </c:pt>
                <c:pt idx="134">
                  <c:v>47263</c:v>
                </c:pt>
                <c:pt idx="135">
                  <c:v>47294</c:v>
                </c:pt>
                <c:pt idx="136">
                  <c:v>47324</c:v>
                </c:pt>
                <c:pt idx="137">
                  <c:v>47355</c:v>
                </c:pt>
                <c:pt idx="138">
                  <c:v>47386</c:v>
                </c:pt>
                <c:pt idx="139">
                  <c:v>47416</c:v>
                </c:pt>
                <c:pt idx="140">
                  <c:v>47447</c:v>
                </c:pt>
                <c:pt idx="141">
                  <c:v>47477</c:v>
                </c:pt>
                <c:pt idx="142">
                  <c:v>47508</c:v>
                </c:pt>
                <c:pt idx="143">
                  <c:v>47539</c:v>
                </c:pt>
                <c:pt idx="144">
                  <c:v>47567</c:v>
                </c:pt>
                <c:pt idx="145">
                  <c:v>47598</c:v>
                </c:pt>
                <c:pt idx="146">
                  <c:v>47628</c:v>
                </c:pt>
                <c:pt idx="147">
                  <c:v>47659</c:v>
                </c:pt>
                <c:pt idx="148">
                  <c:v>47689</c:v>
                </c:pt>
                <c:pt idx="149">
                  <c:v>47720</c:v>
                </c:pt>
                <c:pt idx="150">
                  <c:v>47751</c:v>
                </c:pt>
                <c:pt idx="151">
                  <c:v>47781</c:v>
                </c:pt>
                <c:pt idx="152">
                  <c:v>47812</c:v>
                </c:pt>
                <c:pt idx="153">
                  <c:v>47842</c:v>
                </c:pt>
                <c:pt idx="154">
                  <c:v>47873</c:v>
                </c:pt>
                <c:pt idx="155">
                  <c:v>47904</c:v>
                </c:pt>
                <c:pt idx="156">
                  <c:v>47932</c:v>
                </c:pt>
                <c:pt idx="157">
                  <c:v>47963</c:v>
                </c:pt>
                <c:pt idx="158">
                  <c:v>47993</c:v>
                </c:pt>
                <c:pt idx="159">
                  <c:v>48024</c:v>
                </c:pt>
                <c:pt idx="160">
                  <c:v>48054</c:v>
                </c:pt>
                <c:pt idx="161">
                  <c:v>48085</c:v>
                </c:pt>
                <c:pt idx="162">
                  <c:v>48116</c:v>
                </c:pt>
                <c:pt idx="163">
                  <c:v>48146</c:v>
                </c:pt>
                <c:pt idx="164">
                  <c:v>48177</c:v>
                </c:pt>
                <c:pt idx="165">
                  <c:v>48207</c:v>
                </c:pt>
                <c:pt idx="166">
                  <c:v>48238</c:v>
                </c:pt>
                <c:pt idx="167">
                  <c:v>48269</c:v>
                </c:pt>
                <c:pt idx="168">
                  <c:v>48298</c:v>
                </c:pt>
                <c:pt idx="169">
                  <c:v>48329</c:v>
                </c:pt>
                <c:pt idx="170">
                  <c:v>48359</c:v>
                </c:pt>
                <c:pt idx="171">
                  <c:v>48390</c:v>
                </c:pt>
                <c:pt idx="172">
                  <c:v>48420</c:v>
                </c:pt>
                <c:pt idx="173">
                  <c:v>48451</c:v>
                </c:pt>
                <c:pt idx="174">
                  <c:v>48482</c:v>
                </c:pt>
                <c:pt idx="175">
                  <c:v>48512</c:v>
                </c:pt>
                <c:pt idx="176">
                  <c:v>48543</c:v>
                </c:pt>
                <c:pt idx="177">
                  <c:v>48573</c:v>
                </c:pt>
                <c:pt idx="178">
                  <c:v>48604</c:v>
                </c:pt>
                <c:pt idx="179">
                  <c:v>48635</c:v>
                </c:pt>
                <c:pt idx="180">
                  <c:v>48663</c:v>
                </c:pt>
                <c:pt idx="181">
                  <c:v>48694</c:v>
                </c:pt>
                <c:pt idx="182">
                  <c:v>48724</c:v>
                </c:pt>
                <c:pt idx="183">
                  <c:v>48755</c:v>
                </c:pt>
                <c:pt idx="184">
                  <c:v>48785</c:v>
                </c:pt>
                <c:pt idx="185">
                  <c:v>48816</c:v>
                </c:pt>
                <c:pt idx="186">
                  <c:v>48847</c:v>
                </c:pt>
                <c:pt idx="187">
                  <c:v>48877</c:v>
                </c:pt>
                <c:pt idx="188">
                  <c:v>48908</c:v>
                </c:pt>
                <c:pt idx="189">
                  <c:v>48938</c:v>
                </c:pt>
                <c:pt idx="190">
                  <c:v>48969</c:v>
                </c:pt>
                <c:pt idx="191">
                  <c:v>49000</c:v>
                </c:pt>
                <c:pt idx="192">
                  <c:v>49028</c:v>
                </c:pt>
                <c:pt idx="193">
                  <c:v>49059</c:v>
                </c:pt>
                <c:pt idx="194">
                  <c:v>49089</c:v>
                </c:pt>
                <c:pt idx="195">
                  <c:v>49120</c:v>
                </c:pt>
                <c:pt idx="196">
                  <c:v>49150</c:v>
                </c:pt>
                <c:pt idx="197">
                  <c:v>49181</c:v>
                </c:pt>
                <c:pt idx="198">
                  <c:v>49212</c:v>
                </c:pt>
                <c:pt idx="199">
                  <c:v>49242</c:v>
                </c:pt>
                <c:pt idx="200">
                  <c:v>49273</c:v>
                </c:pt>
                <c:pt idx="201">
                  <c:v>49303</c:v>
                </c:pt>
                <c:pt idx="202">
                  <c:v>49334</c:v>
                </c:pt>
                <c:pt idx="203">
                  <c:v>49365</c:v>
                </c:pt>
                <c:pt idx="204">
                  <c:v>49393</c:v>
                </c:pt>
                <c:pt idx="205">
                  <c:v>49424</c:v>
                </c:pt>
                <c:pt idx="206">
                  <c:v>49454</c:v>
                </c:pt>
                <c:pt idx="207">
                  <c:v>49485</c:v>
                </c:pt>
                <c:pt idx="208">
                  <c:v>49515</c:v>
                </c:pt>
                <c:pt idx="209">
                  <c:v>49546</c:v>
                </c:pt>
                <c:pt idx="210">
                  <c:v>49577</c:v>
                </c:pt>
                <c:pt idx="211">
                  <c:v>49607</c:v>
                </c:pt>
                <c:pt idx="212">
                  <c:v>49638</c:v>
                </c:pt>
                <c:pt idx="213">
                  <c:v>49668</c:v>
                </c:pt>
                <c:pt idx="214">
                  <c:v>49699</c:v>
                </c:pt>
                <c:pt idx="215">
                  <c:v>49730</c:v>
                </c:pt>
                <c:pt idx="216">
                  <c:v>49759</c:v>
                </c:pt>
                <c:pt idx="217">
                  <c:v>49790</c:v>
                </c:pt>
                <c:pt idx="218">
                  <c:v>49820</c:v>
                </c:pt>
                <c:pt idx="219">
                  <c:v>49851</c:v>
                </c:pt>
                <c:pt idx="220">
                  <c:v>49881</c:v>
                </c:pt>
                <c:pt idx="221">
                  <c:v>49912</c:v>
                </c:pt>
                <c:pt idx="222">
                  <c:v>49943</c:v>
                </c:pt>
                <c:pt idx="223">
                  <c:v>49973</c:v>
                </c:pt>
                <c:pt idx="224">
                  <c:v>50004</c:v>
                </c:pt>
                <c:pt idx="225">
                  <c:v>50034</c:v>
                </c:pt>
                <c:pt idx="226">
                  <c:v>50065</c:v>
                </c:pt>
                <c:pt idx="227">
                  <c:v>50096</c:v>
                </c:pt>
                <c:pt idx="228">
                  <c:v>50124</c:v>
                </c:pt>
                <c:pt idx="229">
                  <c:v>50155</c:v>
                </c:pt>
                <c:pt idx="230">
                  <c:v>50185</c:v>
                </c:pt>
                <c:pt idx="231">
                  <c:v>50216</c:v>
                </c:pt>
                <c:pt idx="232">
                  <c:v>50246</c:v>
                </c:pt>
                <c:pt idx="233">
                  <c:v>50277</c:v>
                </c:pt>
                <c:pt idx="234">
                  <c:v>50308</c:v>
                </c:pt>
                <c:pt idx="235">
                  <c:v>50338</c:v>
                </c:pt>
                <c:pt idx="236">
                  <c:v>50369</c:v>
                </c:pt>
                <c:pt idx="237">
                  <c:v>50399</c:v>
                </c:pt>
                <c:pt idx="238">
                  <c:v>50430</c:v>
                </c:pt>
                <c:pt idx="239">
                  <c:v>50461</c:v>
                </c:pt>
                <c:pt idx="240">
                  <c:v>50489</c:v>
                </c:pt>
                <c:pt idx="241">
                  <c:v>50520</c:v>
                </c:pt>
                <c:pt idx="242">
                  <c:v>50550</c:v>
                </c:pt>
                <c:pt idx="243">
                  <c:v>50581</c:v>
                </c:pt>
                <c:pt idx="244">
                  <c:v>50611</c:v>
                </c:pt>
                <c:pt idx="245">
                  <c:v>50642</c:v>
                </c:pt>
                <c:pt idx="246">
                  <c:v>50673</c:v>
                </c:pt>
                <c:pt idx="247">
                  <c:v>50703</c:v>
                </c:pt>
                <c:pt idx="248">
                  <c:v>50734</c:v>
                </c:pt>
                <c:pt idx="249">
                  <c:v>50764</c:v>
                </c:pt>
                <c:pt idx="250">
                  <c:v>50795</c:v>
                </c:pt>
                <c:pt idx="251">
                  <c:v>50826</c:v>
                </c:pt>
                <c:pt idx="252">
                  <c:v>50854</c:v>
                </c:pt>
                <c:pt idx="253">
                  <c:v>50885</c:v>
                </c:pt>
                <c:pt idx="254">
                  <c:v>50915</c:v>
                </c:pt>
                <c:pt idx="255">
                  <c:v>50946</c:v>
                </c:pt>
                <c:pt idx="256">
                  <c:v>50976</c:v>
                </c:pt>
                <c:pt idx="257">
                  <c:v>51007</c:v>
                </c:pt>
                <c:pt idx="258">
                  <c:v>51038</c:v>
                </c:pt>
                <c:pt idx="259">
                  <c:v>51068</c:v>
                </c:pt>
                <c:pt idx="260">
                  <c:v>51099</c:v>
                </c:pt>
                <c:pt idx="261">
                  <c:v>51129</c:v>
                </c:pt>
                <c:pt idx="262">
                  <c:v>51160</c:v>
                </c:pt>
                <c:pt idx="263">
                  <c:v>51191</c:v>
                </c:pt>
                <c:pt idx="264">
                  <c:v>51220</c:v>
                </c:pt>
                <c:pt idx="265">
                  <c:v>51251</c:v>
                </c:pt>
                <c:pt idx="266">
                  <c:v>51281</c:v>
                </c:pt>
                <c:pt idx="267">
                  <c:v>51312</c:v>
                </c:pt>
                <c:pt idx="268">
                  <c:v>51342</c:v>
                </c:pt>
                <c:pt idx="269">
                  <c:v>51373</c:v>
                </c:pt>
                <c:pt idx="270">
                  <c:v>51404</c:v>
                </c:pt>
                <c:pt idx="271">
                  <c:v>51434</c:v>
                </c:pt>
                <c:pt idx="272">
                  <c:v>51465</c:v>
                </c:pt>
                <c:pt idx="273">
                  <c:v>51495</c:v>
                </c:pt>
                <c:pt idx="274">
                  <c:v>51526</c:v>
                </c:pt>
                <c:pt idx="275">
                  <c:v>51557</c:v>
                </c:pt>
                <c:pt idx="276">
                  <c:v>51585</c:v>
                </c:pt>
                <c:pt idx="277">
                  <c:v>51616</c:v>
                </c:pt>
                <c:pt idx="278">
                  <c:v>51646</c:v>
                </c:pt>
                <c:pt idx="279">
                  <c:v>51677</c:v>
                </c:pt>
                <c:pt idx="280">
                  <c:v>51707</c:v>
                </c:pt>
                <c:pt idx="281">
                  <c:v>51738</c:v>
                </c:pt>
                <c:pt idx="282">
                  <c:v>51769</c:v>
                </c:pt>
                <c:pt idx="283">
                  <c:v>51799</c:v>
                </c:pt>
                <c:pt idx="284">
                  <c:v>51830</c:v>
                </c:pt>
                <c:pt idx="285">
                  <c:v>51860</c:v>
                </c:pt>
                <c:pt idx="286">
                  <c:v>51891</c:v>
                </c:pt>
                <c:pt idx="287">
                  <c:v>51922</c:v>
                </c:pt>
                <c:pt idx="288">
                  <c:v>51950</c:v>
                </c:pt>
                <c:pt idx="289">
                  <c:v>51981</c:v>
                </c:pt>
                <c:pt idx="290">
                  <c:v>52011</c:v>
                </c:pt>
                <c:pt idx="291">
                  <c:v>52042</c:v>
                </c:pt>
                <c:pt idx="292">
                  <c:v>52072</c:v>
                </c:pt>
                <c:pt idx="293">
                  <c:v>52103</c:v>
                </c:pt>
                <c:pt idx="294">
                  <c:v>52134</c:v>
                </c:pt>
                <c:pt idx="295">
                  <c:v>52164</c:v>
                </c:pt>
                <c:pt idx="296">
                  <c:v>52195</c:v>
                </c:pt>
                <c:pt idx="297" formatCode="m/d/yy">
                  <c:v>52225</c:v>
                </c:pt>
                <c:pt idx="298" formatCode="m/d/yy">
                  <c:v>52256</c:v>
                </c:pt>
                <c:pt idx="299" formatCode="m/d/yy">
                  <c:v>52287</c:v>
                </c:pt>
                <c:pt idx="300" formatCode="m/d/yy">
                  <c:v>52315</c:v>
                </c:pt>
                <c:pt idx="301" formatCode="m/d/yy">
                  <c:v>52346</c:v>
                </c:pt>
                <c:pt idx="302" formatCode="m/d/yy">
                  <c:v>52376</c:v>
                </c:pt>
                <c:pt idx="303" formatCode="m/d/yy">
                  <c:v>52407</c:v>
                </c:pt>
                <c:pt idx="304" formatCode="m/d/yy">
                  <c:v>52437</c:v>
                </c:pt>
                <c:pt idx="305" formatCode="m/d/yy">
                  <c:v>52468</c:v>
                </c:pt>
                <c:pt idx="306" formatCode="m/d/yy">
                  <c:v>52499</c:v>
                </c:pt>
                <c:pt idx="307" formatCode="m/d/yy">
                  <c:v>52529</c:v>
                </c:pt>
                <c:pt idx="308" formatCode="m/d/yy">
                  <c:v>52560</c:v>
                </c:pt>
                <c:pt idx="309" formatCode="m/d/yy">
                  <c:v>52590</c:v>
                </c:pt>
                <c:pt idx="310" formatCode="m/d/yy">
                  <c:v>52621</c:v>
                </c:pt>
                <c:pt idx="311" formatCode="m/d/yy">
                  <c:v>52652</c:v>
                </c:pt>
                <c:pt idx="312" formatCode="m/d/yy">
                  <c:v>52681</c:v>
                </c:pt>
                <c:pt idx="313" formatCode="m/d/yy">
                  <c:v>52712</c:v>
                </c:pt>
                <c:pt idx="314" formatCode="m/d/yy">
                  <c:v>52742</c:v>
                </c:pt>
                <c:pt idx="315" formatCode="m/d/yy">
                  <c:v>52773</c:v>
                </c:pt>
                <c:pt idx="316" formatCode="m/d/yy">
                  <c:v>52803</c:v>
                </c:pt>
                <c:pt idx="317" formatCode="m/d/yy">
                  <c:v>52834</c:v>
                </c:pt>
                <c:pt idx="318" formatCode="m/d/yy">
                  <c:v>52865</c:v>
                </c:pt>
                <c:pt idx="319" formatCode="m/d/yy">
                  <c:v>52895</c:v>
                </c:pt>
                <c:pt idx="320" formatCode="m/d/yy">
                  <c:v>52926</c:v>
                </c:pt>
                <c:pt idx="321" formatCode="m/d/yy">
                  <c:v>52956</c:v>
                </c:pt>
                <c:pt idx="322" formatCode="m/d/yy">
                  <c:v>52987</c:v>
                </c:pt>
                <c:pt idx="323" formatCode="m/d/yy">
                  <c:v>53018</c:v>
                </c:pt>
                <c:pt idx="324" formatCode="m/d/yy">
                  <c:v>53046</c:v>
                </c:pt>
                <c:pt idx="325" formatCode="m/d/yy">
                  <c:v>53077</c:v>
                </c:pt>
                <c:pt idx="326" formatCode="m/d/yy">
                  <c:v>53107</c:v>
                </c:pt>
                <c:pt idx="327" formatCode="m/d/yy">
                  <c:v>53138</c:v>
                </c:pt>
                <c:pt idx="328" formatCode="m/d/yy">
                  <c:v>53168</c:v>
                </c:pt>
                <c:pt idx="329" formatCode="m/d/yy">
                  <c:v>53199</c:v>
                </c:pt>
                <c:pt idx="330" formatCode="m/d/yy">
                  <c:v>53230</c:v>
                </c:pt>
                <c:pt idx="331" formatCode="m/d/yy">
                  <c:v>53260</c:v>
                </c:pt>
                <c:pt idx="332" formatCode="m/d/yy">
                  <c:v>53291</c:v>
                </c:pt>
                <c:pt idx="333" formatCode="m/d/yy">
                  <c:v>53321</c:v>
                </c:pt>
                <c:pt idx="334" formatCode="m/d/yy">
                  <c:v>53352</c:v>
                </c:pt>
                <c:pt idx="335" formatCode="m/d/yy">
                  <c:v>53383</c:v>
                </c:pt>
                <c:pt idx="336" formatCode="m/d/yy">
                  <c:v>53411</c:v>
                </c:pt>
                <c:pt idx="337" formatCode="m/d/yy">
                  <c:v>53442</c:v>
                </c:pt>
                <c:pt idx="338" formatCode="m/d/yy">
                  <c:v>53472</c:v>
                </c:pt>
                <c:pt idx="339" formatCode="m/d/yy">
                  <c:v>53503</c:v>
                </c:pt>
                <c:pt idx="340" formatCode="m/d/yy">
                  <c:v>53533</c:v>
                </c:pt>
                <c:pt idx="341" formatCode="m/d/yy">
                  <c:v>53564</c:v>
                </c:pt>
                <c:pt idx="342" formatCode="m/d/yy">
                  <c:v>53595</c:v>
                </c:pt>
                <c:pt idx="343" formatCode="m/d/yy">
                  <c:v>53625</c:v>
                </c:pt>
                <c:pt idx="344" formatCode="m/d/yy">
                  <c:v>53656</c:v>
                </c:pt>
                <c:pt idx="345" formatCode="m/d/yy">
                  <c:v>53686</c:v>
                </c:pt>
                <c:pt idx="346" formatCode="m/d/yy">
                  <c:v>53717</c:v>
                </c:pt>
                <c:pt idx="347" formatCode="m/d/yy">
                  <c:v>53748</c:v>
                </c:pt>
                <c:pt idx="348" formatCode="m/d/yy">
                  <c:v>53776</c:v>
                </c:pt>
                <c:pt idx="349" formatCode="m/d/yy">
                  <c:v>53807</c:v>
                </c:pt>
                <c:pt idx="350" formatCode="m/d/yy">
                  <c:v>53837</c:v>
                </c:pt>
                <c:pt idx="351" formatCode="m/d/yy">
                  <c:v>53868</c:v>
                </c:pt>
                <c:pt idx="352" formatCode="m/d/yy">
                  <c:v>53898</c:v>
                </c:pt>
                <c:pt idx="353" formatCode="m/d/yy">
                  <c:v>53929</c:v>
                </c:pt>
                <c:pt idx="354" formatCode="m/d/yy">
                  <c:v>53960</c:v>
                </c:pt>
                <c:pt idx="355" formatCode="m/d/yy">
                  <c:v>53990</c:v>
                </c:pt>
                <c:pt idx="356" formatCode="m/d/yy">
                  <c:v>54021</c:v>
                </c:pt>
                <c:pt idx="357" formatCode="m/d/yy">
                  <c:v>54051</c:v>
                </c:pt>
                <c:pt idx="358" formatCode="m/d/yy">
                  <c:v>54082</c:v>
                </c:pt>
                <c:pt idx="359" formatCode="m/d/yy">
                  <c:v>54113</c:v>
                </c:pt>
                <c:pt idx="360" formatCode="m/d/yy">
                  <c:v>54142</c:v>
                </c:pt>
              </c:numCache>
            </c:numRef>
          </c:xVal>
          <c:yVal>
            <c:numRef>
              <c:f>Inputs!$D$18:$D$446</c:f>
              <c:numCache>
                <c:formatCode>_("$"* #,##0_);_("$"* \(#,##0\);_("$"* "-"??_);_(@_)</c:formatCode>
                <c:ptCount val="429"/>
                <c:pt idx="0">
                  <c:v>280000</c:v>
                </c:pt>
                <c:pt idx="1">
                  <c:v>279637.93</c:v>
                </c:pt>
                <c:pt idx="2">
                  <c:v>279274.48</c:v>
                </c:pt>
                <c:pt idx="3">
                  <c:v>278909.63</c:v>
                </c:pt>
                <c:pt idx="4">
                  <c:v>278543.38</c:v>
                </c:pt>
                <c:pt idx="5">
                  <c:v>278175.73</c:v>
                </c:pt>
                <c:pt idx="6">
                  <c:v>277806.67</c:v>
                </c:pt>
                <c:pt idx="7">
                  <c:v>277436.2</c:v>
                </c:pt>
                <c:pt idx="8">
                  <c:v>277064.31</c:v>
                </c:pt>
                <c:pt idx="9">
                  <c:v>276690.99</c:v>
                </c:pt>
                <c:pt idx="10">
                  <c:v>276316.24</c:v>
                </c:pt>
                <c:pt idx="11">
                  <c:v>275940.05</c:v>
                </c:pt>
                <c:pt idx="12">
                  <c:v>275562.42</c:v>
                </c:pt>
                <c:pt idx="13">
                  <c:v>275183.33999999997</c:v>
                </c:pt>
                <c:pt idx="14">
                  <c:v>274802.80999999994</c:v>
                </c:pt>
                <c:pt idx="15">
                  <c:v>274420.81999999995</c:v>
                </c:pt>
                <c:pt idx="16">
                  <c:v>274037.36999999994</c:v>
                </c:pt>
                <c:pt idx="17">
                  <c:v>273652.44999999995</c:v>
                </c:pt>
                <c:pt idx="18">
                  <c:v>273266.04999999993</c:v>
                </c:pt>
                <c:pt idx="19">
                  <c:v>272878.16999999993</c:v>
                </c:pt>
                <c:pt idx="20">
                  <c:v>272488.79999999993</c:v>
                </c:pt>
                <c:pt idx="21">
                  <c:v>272097.93999999994</c:v>
                </c:pt>
                <c:pt idx="22">
                  <c:v>271705.57999999996</c:v>
                </c:pt>
                <c:pt idx="23">
                  <c:v>271311.71999999997</c:v>
                </c:pt>
                <c:pt idx="24">
                  <c:v>270916.34999999998</c:v>
                </c:pt>
                <c:pt idx="25">
                  <c:v>270519.45999999996</c:v>
                </c:pt>
                <c:pt idx="26">
                  <c:v>270121.05</c:v>
                </c:pt>
                <c:pt idx="27">
                  <c:v>269721.11</c:v>
                </c:pt>
                <c:pt idx="28">
                  <c:v>269319.64</c:v>
                </c:pt>
                <c:pt idx="29">
                  <c:v>268916.63</c:v>
                </c:pt>
                <c:pt idx="30">
                  <c:v>268512.08</c:v>
                </c:pt>
                <c:pt idx="31">
                  <c:v>268105.98000000004</c:v>
                </c:pt>
                <c:pt idx="32">
                  <c:v>267698.32000000007</c:v>
                </c:pt>
                <c:pt idx="33">
                  <c:v>267289.10000000009</c:v>
                </c:pt>
                <c:pt idx="34">
                  <c:v>266878.31000000011</c:v>
                </c:pt>
                <c:pt idx="35">
                  <c:v>266465.94000000012</c:v>
                </c:pt>
                <c:pt idx="36">
                  <c:v>266051.99000000011</c:v>
                </c:pt>
                <c:pt idx="37">
                  <c:v>265636.46000000008</c:v>
                </c:pt>
                <c:pt idx="38">
                  <c:v>265219.33000000007</c:v>
                </c:pt>
                <c:pt idx="39">
                  <c:v>264800.60000000009</c:v>
                </c:pt>
                <c:pt idx="40">
                  <c:v>264380.27000000008</c:v>
                </c:pt>
                <c:pt idx="41">
                  <c:v>263958.33000000007</c:v>
                </c:pt>
                <c:pt idx="42">
                  <c:v>263534.77000000008</c:v>
                </c:pt>
                <c:pt idx="43">
                  <c:v>263109.59000000008</c:v>
                </c:pt>
                <c:pt idx="44">
                  <c:v>262682.78000000009</c:v>
                </c:pt>
                <c:pt idx="45">
                  <c:v>262254.33000000007</c:v>
                </c:pt>
                <c:pt idx="46">
                  <c:v>261824.24000000008</c:v>
                </c:pt>
                <c:pt idx="47">
                  <c:v>261392.50000000009</c:v>
                </c:pt>
                <c:pt idx="48">
                  <c:v>260959.10000000009</c:v>
                </c:pt>
                <c:pt idx="49">
                  <c:v>260524.0400000001</c:v>
                </c:pt>
                <c:pt idx="50">
                  <c:v>260087.32000000009</c:v>
                </c:pt>
                <c:pt idx="51">
                  <c:v>259648.9200000001</c:v>
                </c:pt>
                <c:pt idx="52">
                  <c:v>259208.84000000011</c:v>
                </c:pt>
                <c:pt idx="53">
                  <c:v>258767.07000000012</c:v>
                </c:pt>
                <c:pt idx="54">
                  <c:v>258323.61000000013</c:v>
                </c:pt>
                <c:pt idx="55">
                  <c:v>257878.45000000013</c:v>
                </c:pt>
                <c:pt idx="56">
                  <c:v>257431.58000000013</c:v>
                </c:pt>
                <c:pt idx="57">
                  <c:v>256983.00000000015</c:v>
                </c:pt>
                <c:pt idx="58">
                  <c:v>256532.70000000016</c:v>
                </c:pt>
                <c:pt idx="59">
                  <c:v>256080.68000000017</c:v>
                </c:pt>
                <c:pt idx="60">
                  <c:v>255626.92000000016</c:v>
                </c:pt>
                <c:pt idx="61">
                  <c:v>255171.42000000016</c:v>
                </c:pt>
                <c:pt idx="62">
                  <c:v>254714.18000000017</c:v>
                </c:pt>
                <c:pt idx="63">
                  <c:v>254255.18000000017</c:v>
                </c:pt>
                <c:pt idx="64">
                  <c:v>253794.42000000016</c:v>
                </c:pt>
                <c:pt idx="65">
                  <c:v>253331.90000000017</c:v>
                </c:pt>
                <c:pt idx="66">
                  <c:v>252867.61000000016</c:v>
                </c:pt>
                <c:pt idx="67">
                  <c:v>252401.54000000015</c:v>
                </c:pt>
                <c:pt idx="68">
                  <c:v>251933.68000000017</c:v>
                </c:pt>
                <c:pt idx="69">
                  <c:v>251464.03000000017</c:v>
                </c:pt>
                <c:pt idx="70">
                  <c:v>250992.58000000016</c:v>
                </c:pt>
                <c:pt idx="71">
                  <c:v>250519.32000000015</c:v>
                </c:pt>
                <c:pt idx="72">
                  <c:v>250044.24000000017</c:v>
                </c:pt>
                <c:pt idx="73">
                  <c:v>249567.34000000017</c:v>
                </c:pt>
                <c:pt idx="74">
                  <c:v>249088.61000000016</c:v>
                </c:pt>
                <c:pt idx="75">
                  <c:v>248608.05000000016</c:v>
                </c:pt>
                <c:pt idx="76">
                  <c:v>248125.65000000017</c:v>
                </c:pt>
                <c:pt idx="77">
                  <c:v>247641.40000000017</c:v>
                </c:pt>
                <c:pt idx="78">
                  <c:v>247155.29000000018</c:v>
                </c:pt>
                <c:pt idx="79">
                  <c:v>246667.32000000018</c:v>
                </c:pt>
                <c:pt idx="80">
                  <c:v>246177.48000000019</c:v>
                </c:pt>
                <c:pt idx="81">
                  <c:v>245685.76000000018</c:v>
                </c:pt>
                <c:pt idx="82">
                  <c:v>245192.16000000018</c:v>
                </c:pt>
                <c:pt idx="83">
                  <c:v>244696.66000000018</c:v>
                </c:pt>
                <c:pt idx="84">
                  <c:v>244199.26000000018</c:v>
                </c:pt>
                <c:pt idx="85">
                  <c:v>243699.9600000002</c:v>
                </c:pt>
                <c:pt idx="86">
                  <c:v>243198.74000000019</c:v>
                </c:pt>
                <c:pt idx="87">
                  <c:v>242695.60000000018</c:v>
                </c:pt>
                <c:pt idx="88">
                  <c:v>242190.53000000017</c:v>
                </c:pt>
                <c:pt idx="89">
                  <c:v>241683.53000000017</c:v>
                </c:pt>
                <c:pt idx="90">
                  <c:v>241174.58000000016</c:v>
                </c:pt>
                <c:pt idx="91">
                  <c:v>240663.68000000017</c:v>
                </c:pt>
                <c:pt idx="92">
                  <c:v>240150.82000000018</c:v>
                </c:pt>
                <c:pt idx="93">
                  <c:v>239636.00000000017</c:v>
                </c:pt>
                <c:pt idx="94">
                  <c:v>239119.20000000019</c:v>
                </c:pt>
                <c:pt idx="95">
                  <c:v>238600.42000000019</c:v>
                </c:pt>
                <c:pt idx="96">
                  <c:v>238079.6500000002</c:v>
                </c:pt>
                <c:pt idx="97">
                  <c:v>237556.89000000019</c:v>
                </c:pt>
                <c:pt idx="98">
                  <c:v>237032.1200000002</c:v>
                </c:pt>
                <c:pt idx="99">
                  <c:v>236505.3400000002</c:v>
                </c:pt>
                <c:pt idx="100">
                  <c:v>235976.54000000021</c:v>
                </c:pt>
                <c:pt idx="101">
                  <c:v>235445.7200000002</c:v>
                </c:pt>
                <c:pt idx="102">
                  <c:v>234912.86000000022</c:v>
                </c:pt>
                <c:pt idx="103">
                  <c:v>234377.96000000022</c:v>
                </c:pt>
                <c:pt idx="104">
                  <c:v>233841.01000000021</c:v>
                </c:pt>
                <c:pt idx="105">
                  <c:v>233302.0000000002</c:v>
                </c:pt>
                <c:pt idx="106">
                  <c:v>232760.92000000022</c:v>
                </c:pt>
                <c:pt idx="107">
                  <c:v>232217.77000000022</c:v>
                </c:pt>
                <c:pt idx="108">
                  <c:v>231672.54000000021</c:v>
                </c:pt>
                <c:pt idx="109">
                  <c:v>231125.2200000002</c:v>
                </c:pt>
                <c:pt idx="110">
                  <c:v>230575.80000000019</c:v>
                </c:pt>
                <c:pt idx="111">
                  <c:v>230024.27000000019</c:v>
                </c:pt>
                <c:pt idx="112">
                  <c:v>229470.63000000018</c:v>
                </c:pt>
                <c:pt idx="113">
                  <c:v>228914.87000000017</c:v>
                </c:pt>
                <c:pt idx="114">
                  <c:v>228356.98000000016</c:v>
                </c:pt>
                <c:pt idx="115">
                  <c:v>227796.95000000016</c:v>
                </c:pt>
                <c:pt idx="116">
                  <c:v>227234.77000000016</c:v>
                </c:pt>
                <c:pt idx="117">
                  <c:v>226670.44000000018</c:v>
                </c:pt>
                <c:pt idx="118">
                  <c:v>226103.94000000018</c:v>
                </c:pt>
                <c:pt idx="119">
                  <c:v>225535.27000000016</c:v>
                </c:pt>
                <c:pt idx="120">
                  <c:v>224964.42000000016</c:v>
                </c:pt>
                <c:pt idx="121">
                  <c:v>224391.38000000015</c:v>
                </c:pt>
                <c:pt idx="122">
                  <c:v>223816.15000000014</c:v>
                </c:pt>
                <c:pt idx="123">
                  <c:v>223238.71000000014</c:v>
                </c:pt>
                <c:pt idx="124">
                  <c:v>222659.06000000014</c:v>
                </c:pt>
                <c:pt idx="125">
                  <c:v>222077.19000000015</c:v>
                </c:pt>
                <c:pt idx="126">
                  <c:v>221493.09000000014</c:v>
                </c:pt>
                <c:pt idx="127">
                  <c:v>220906.75000000015</c:v>
                </c:pt>
                <c:pt idx="128">
                  <c:v>220318.16000000015</c:v>
                </c:pt>
                <c:pt idx="129">
                  <c:v>219727.31000000014</c:v>
                </c:pt>
                <c:pt idx="130">
                  <c:v>219134.20000000016</c:v>
                </c:pt>
                <c:pt idx="131">
                  <c:v>218538.81000000014</c:v>
                </c:pt>
                <c:pt idx="132">
                  <c:v>217941.14000000013</c:v>
                </c:pt>
                <c:pt idx="133">
                  <c:v>217341.18000000014</c:v>
                </c:pt>
                <c:pt idx="134">
                  <c:v>216738.92000000013</c:v>
                </c:pt>
                <c:pt idx="135">
                  <c:v>216134.35000000012</c:v>
                </c:pt>
                <c:pt idx="136">
                  <c:v>215527.47000000012</c:v>
                </c:pt>
                <c:pt idx="137">
                  <c:v>214918.26000000013</c:v>
                </c:pt>
                <c:pt idx="138">
                  <c:v>214306.71000000014</c:v>
                </c:pt>
                <c:pt idx="139">
                  <c:v>213692.82000000012</c:v>
                </c:pt>
                <c:pt idx="140">
                  <c:v>213076.58000000013</c:v>
                </c:pt>
                <c:pt idx="141">
                  <c:v>212457.97000000015</c:v>
                </c:pt>
                <c:pt idx="142">
                  <c:v>211836.99000000014</c:v>
                </c:pt>
                <c:pt idx="143">
                  <c:v>211213.63000000015</c:v>
                </c:pt>
                <c:pt idx="144">
                  <c:v>210587.88000000015</c:v>
                </c:pt>
                <c:pt idx="145">
                  <c:v>209959.73000000016</c:v>
                </c:pt>
                <c:pt idx="146">
                  <c:v>209329.18000000017</c:v>
                </c:pt>
                <c:pt idx="147">
                  <c:v>208696.21000000017</c:v>
                </c:pt>
                <c:pt idx="148">
                  <c:v>208060.81000000017</c:v>
                </c:pt>
                <c:pt idx="149">
                  <c:v>207422.98000000019</c:v>
                </c:pt>
                <c:pt idx="150">
                  <c:v>206782.70000000019</c:v>
                </c:pt>
                <c:pt idx="151">
                  <c:v>206139.97000000018</c:v>
                </c:pt>
                <c:pt idx="152">
                  <c:v>205494.77000000016</c:v>
                </c:pt>
                <c:pt idx="153">
                  <c:v>204847.10000000015</c:v>
                </c:pt>
                <c:pt idx="154">
                  <c:v>204196.95000000016</c:v>
                </c:pt>
                <c:pt idx="155">
                  <c:v>203544.30000000016</c:v>
                </c:pt>
                <c:pt idx="156">
                  <c:v>202889.15000000017</c:v>
                </c:pt>
                <c:pt idx="157">
                  <c:v>202231.49000000017</c:v>
                </c:pt>
                <c:pt idx="158">
                  <c:v>201571.31000000017</c:v>
                </c:pt>
                <c:pt idx="159">
                  <c:v>200908.60000000018</c:v>
                </c:pt>
                <c:pt idx="160">
                  <c:v>200243.35000000018</c:v>
                </c:pt>
                <c:pt idx="161">
                  <c:v>199575.55000000019</c:v>
                </c:pt>
                <c:pt idx="162">
                  <c:v>198905.19000000021</c:v>
                </c:pt>
                <c:pt idx="163">
                  <c:v>198232.26000000021</c:v>
                </c:pt>
                <c:pt idx="164">
                  <c:v>197556.7500000002</c:v>
                </c:pt>
                <c:pt idx="165">
                  <c:v>196878.6500000002</c:v>
                </c:pt>
                <c:pt idx="166">
                  <c:v>196197.95000000019</c:v>
                </c:pt>
                <c:pt idx="167">
                  <c:v>195514.64000000019</c:v>
                </c:pt>
                <c:pt idx="168">
                  <c:v>194828.7100000002</c:v>
                </c:pt>
                <c:pt idx="169">
                  <c:v>194140.1500000002</c:v>
                </c:pt>
                <c:pt idx="170">
                  <c:v>193448.95000000019</c:v>
                </c:pt>
                <c:pt idx="171">
                  <c:v>192755.10000000018</c:v>
                </c:pt>
                <c:pt idx="172">
                  <c:v>192058.59000000017</c:v>
                </c:pt>
                <c:pt idx="173">
                  <c:v>191359.41000000018</c:v>
                </c:pt>
                <c:pt idx="174">
                  <c:v>190657.55000000019</c:v>
                </c:pt>
                <c:pt idx="175">
                  <c:v>189953.0000000002</c:v>
                </c:pt>
                <c:pt idx="176">
                  <c:v>189245.7500000002</c:v>
                </c:pt>
                <c:pt idx="177">
                  <c:v>188535.79000000021</c:v>
                </c:pt>
                <c:pt idx="178">
                  <c:v>187823.11000000022</c:v>
                </c:pt>
                <c:pt idx="179">
                  <c:v>187107.70000000022</c:v>
                </c:pt>
                <c:pt idx="180">
                  <c:v>186389.55000000022</c:v>
                </c:pt>
                <c:pt idx="181">
                  <c:v>185668.64000000022</c:v>
                </c:pt>
                <c:pt idx="182">
                  <c:v>184944.9700000002</c:v>
                </c:pt>
                <c:pt idx="183">
                  <c:v>184218.5300000002</c:v>
                </c:pt>
                <c:pt idx="184">
                  <c:v>183489.30000000019</c:v>
                </c:pt>
                <c:pt idx="185">
                  <c:v>182757.2800000002</c:v>
                </c:pt>
                <c:pt idx="186">
                  <c:v>182022.45000000022</c:v>
                </c:pt>
                <c:pt idx="187">
                  <c:v>181284.80000000022</c:v>
                </c:pt>
                <c:pt idx="188">
                  <c:v>180544.33000000022</c:v>
                </c:pt>
                <c:pt idx="189">
                  <c:v>179801.02000000022</c:v>
                </c:pt>
                <c:pt idx="190">
                  <c:v>179054.86000000022</c:v>
                </c:pt>
                <c:pt idx="191">
                  <c:v>178305.84000000023</c:v>
                </c:pt>
                <c:pt idx="192">
                  <c:v>177553.95000000022</c:v>
                </c:pt>
                <c:pt idx="193">
                  <c:v>176799.17000000022</c:v>
                </c:pt>
                <c:pt idx="194">
                  <c:v>176041.5000000002</c:v>
                </c:pt>
                <c:pt idx="195">
                  <c:v>175280.9300000002</c:v>
                </c:pt>
                <c:pt idx="196">
                  <c:v>174517.44000000021</c:v>
                </c:pt>
                <c:pt idx="197">
                  <c:v>173751.02000000019</c:v>
                </c:pt>
                <c:pt idx="198">
                  <c:v>172981.67000000019</c:v>
                </c:pt>
                <c:pt idx="199">
                  <c:v>172209.3700000002</c:v>
                </c:pt>
                <c:pt idx="200">
                  <c:v>171434.11000000019</c:v>
                </c:pt>
                <c:pt idx="201">
                  <c:v>170655.8700000002</c:v>
                </c:pt>
                <c:pt idx="202">
                  <c:v>169874.6500000002</c:v>
                </c:pt>
                <c:pt idx="203">
                  <c:v>169090.44000000021</c:v>
                </c:pt>
                <c:pt idx="204">
                  <c:v>168303.2200000002</c:v>
                </c:pt>
                <c:pt idx="205">
                  <c:v>167512.98000000021</c:v>
                </c:pt>
                <c:pt idx="206">
                  <c:v>166719.71000000022</c:v>
                </c:pt>
                <c:pt idx="207">
                  <c:v>165923.40000000023</c:v>
                </c:pt>
                <c:pt idx="208">
                  <c:v>165124.04000000024</c:v>
                </c:pt>
                <c:pt idx="209">
                  <c:v>164321.62000000023</c:v>
                </c:pt>
                <c:pt idx="210">
                  <c:v>163516.12000000023</c:v>
                </c:pt>
                <c:pt idx="211">
                  <c:v>162707.53000000023</c:v>
                </c:pt>
                <c:pt idx="212">
                  <c:v>161895.84000000023</c:v>
                </c:pt>
                <c:pt idx="213">
                  <c:v>161081.04000000024</c:v>
                </c:pt>
                <c:pt idx="214">
                  <c:v>160263.12000000023</c:v>
                </c:pt>
                <c:pt idx="215">
                  <c:v>159442.06000000023</c:v>
                </c:pt>
                <c:pt idx="216">
                  <c:v>158617.85000000024</c:v>
                </c:pt>
                <c:pt idx="217">
                  <c:v>157790.49000000025</c:v>
                </c:pt>
                <c:pt idx="218">
                  <c:v>156959.95000000024</c:v>
                </c:pt>
                <c:pt idx="219">
                  <c:v>156126.23000000024</c:v>
                </c:pt>
                <c:pt idx="220">
                  <c:v>155289.31000000023</c:v>
                </c:pt>
                <c:pt idx="221">
                  <c:v>154449.19000000024</c:v>
                </c:pt>
                <c:pt idx="222">
                  <c:v>153605.85000000024</c:v>
                </c:pt>
                <c:pt idx="223">
                  <c:v>152759.27000000025</c:v>
                </c:pt>
                <c:pt idx="224">
                  <c:v>151909.45000000024</c:v>
                </c:pt>
                <c:pt idx="225">
                  <c:v>151056.37000000026</c:v>
                </c:pt>
                <c:pt idx="226">
                  <c:v>150200.02000000025</c:v>
                </c:pt>
                <c:pt idx="227">
                  <c:v>149340.39000000025</c:v>
                </c:pt>
                <c:pt idx="228">
                  <c:v>148477.46000000025</c:v>
                </c:pt>
                <c:pt idx="229">
                  <c:v>147611.22000000026</c:v>
                </c:pt>
                <c:pt idx="230">
                  <c:v>146741.66000000027</c:v>
                </c:pt>
                <c:pt idx="231">
                  <c:v>145868.77000000025</c:v>
                </c:pt>
                <c:pt idx="232">
                  <c:v>144992.53000000026</c:v>
                </c:pt>
                <c:pt idx="233">
                  <c:v>144112.93000000025</c:v>
                </c:pt>
                <c:pt idx="234">
                  <c:v>143229.96000000025</c:v>
                </c:pt>
                <c:pt idx="235">
                  <c:v>142343.61000000025</c:v>
                </c:pt>
                <c:pt idx="236">
                  <c:v>141453.86000000025</c:v>
                </c:pt>
                <c:pt idx="237">
                  <c:v>140560.70000000024</c:v>
                </c:pt>
                <c:pt idx="238">
                  <c:v>139664.12000000026</c:v>
                </c:pt>
                <c:pt idx="239">
                  <c:v>138764.10000000027</c:v>
                </c:pt>
                <c:pt idx="240">
                  <c:v>137860.63000000027</c:v>
                </c:pt>
                <c:pt idx="241">
                  <c:v>136953.70000000027</c:v>
                </c:pt>
                <c:pt idx="242">
                  <c:v>136043.29000000027</c:v>
                </c:pt>
                <c:pt idx="243">
                  <c:v>135129.39000000028</c:v>
                </c:pt>
                <c:pt idx="244">
                  <c:v>134211.99000000028</c:v>
                </c:pt>
                <c:pt idx="245">
                  <c:v>133291.07000000027</c:v>
                </c:pt>
                <c:pt idx="246">
                  <c:v>132366.62000000026</c:v>
                </c:pt>
                <c:pt idx="247">
                  <c:v>131438.63000000027</c:v>
                </c:pt>
                <c:pt idx="248">
                  <c:v>130507.08000000026</c:v>
                </c:pt>
                <c:pt idx="249">
                  <c:v>129571.96000000027</c:v>
                </c:pt>
                <c:pt idx="250">
                  <c:v>128633.25000000026</c:v>
                </c:pt>
                <c:pt idx="251">
                  <c:v>127690.94000000026</c:v>
                </c:pt>
                <c:pt idx="252">
                  <c:v>126745.02000000027</c:v>
                </c:pt>
                <c:pt idx="253">
                  <c:v>125795.48000000027</c:v>
                </c:pt>
                <c:pt idx="254">
                  <c:v>124842.30000000028</c:v>
                </c:pt>
                <c:pt idx="255">
                  <c:v>123885.46000000028</c:v>
                </c:pt>
                <c:pt idx="256">
                  <c:v>122924.95000000029</c:v>
                </c:pt>
                <c:pt idx="257">
                  <c:v>121960.76000000029</c:v>
                </c:pt>
                <c:pt idx="258">
                  <c:v>120992.88000000028</c:v>
                </c:pt>
                <c:pt idx="259">
                  <c:v>120021.29000000028</c:v>
                </c:pt>
                <c:pt idx="260">
                  <c:v>119045.97000000028</c:v>
                </c:pt>
                <c:pt idx="261">
                  <c:v>118066.91000000028</c:v>
                </c:pt>
                <c:pt idx="262">
                  <c:v>117084.10000000028</c:v>
                </c:pt>
                <c:pt idx="263">
                  <c:v>116097.52000000028</c:v>
                </c:pt>
                <c:pt idx="264">
                  <c:v>115107.16000000028</c:v>
                </c:pt>
                <c:pt idx="265">
                  <c:v>114113.00000000028</c:v>
                </c:pt>
                <c:pt idx="266">
                  <c:v>113115.03000000028</c:v>
                </c:pt>
                <c:pt idx="267">
                  <c:v>112113.24000000028</c:v>
                </c:pt>
                <c:pt idx="268">
                  <c:v>111107.61000000028</c:v>
                </c:pt>
                <c:pt idx="269">
                  <c:v>110098.12000000027</c:v>
                </c:pt>
                <c:pt idx="270">
                  <c:v>109084.76000000027</c:v>
                </c:pt>
                <c:pt idx="271">
                  <c:v>108067.52000000027</c:v>
                </c:pt>
                <c:pt idx="272">
                  <c:v>107046.38000000027</c:v>
                </c:pt>
                <c:pt idx="273">
                  <c:v>106021.32000000027</c:v>
                </c:pt>
                <c:pt idx="274">
                  <c:v>104992.34000000027</c:v>
                </c:pt>
                <c:pt idx="275">
                  <c:v>103959.41000000028</c:v>
                </c:pt>
                <c:pt idx="276">
                  <c:v>102922.52000000028</c:v>
                </c:pt>
                <c:pt idx="277">
                  <c:v>101881.66000000028</c:v>
                </c:pt>
                <c:pt idx="278">
                  <c:v>100836.81000000027</c:v>
                </c:pt>
                <c:pt idx="279">
                  <c:v>99787.950000000274</c:v>
                </c:pt>
                <c:pt idx="280">
                  <c:v>98735.070000000269</c:v>
                </c:pt>
                <c:pt idx="281">
                  <c:v>97678.150000000271</c:v>
                </c:pt>
                <c:pt idx="282">
                  <c:v>96617.18000000027</c:v>
                </c:pt>
                <c:pt idx="283">
                  <c:v>95552.150000000271</c:v>
                </c:pt>
                <c:pt idx="284">
                  <c:v>94483.030000000275</c:v>
                </c:pt>
                <c:pt idx="285">
                  <c:v>93409.810000000274</c:v>
                </c:pt>
                <c:pt idx="286">
                  <c:v>92332.480000000272</c:v>
                </c:pt>
                <c:pt idx="287">
                  <c:v>91251.020000000266</c:v>
                </c:pt>
                <c:pt idx="288">
                  <c:v>90165.42000000026</c:v>
                </c:pt>
                <c:pt idx="289">
                  <c:v>89075.650000000256</c:v>
                </c:pt>
                <c:pt idx="290">
                  <c:v>87981.710000000254</c:v>
                </c:pt>
                <c:pt idx="291">
                  <c:v>86883.570000000254</c:v>
                </c:pt>
                <c:pt idx="292">
                  <c:v>85781.220000000249</c:v>
                </c:pt>
                <c:pt idx="293">
                  <c:v>84674.650000000242</c:v>
                </c:pt>
                <c:pt idx="294">
                  <c:v>83563.840000000244</c:v>
                </c:pt>
                <c:pt idx="295">
                  <c:v>82448.770000000237</c:v>
                </c:pt>
                <c:pt idx="296">
                  <c:v>81329.420000000231</c:v>
                </c:pt>
                <c:pt idx="297">
                  <c:v>80205.780000000232</c:v>
                </c:pt>
                <c:pt idx="298">
                  <c:v>79077.840000000229</c:v>
                </c:pt>
                <c:pt idx="299">
                  <c:v>77945.570000000225</c:v>
                </c:pt>
                <c:pt idx="300">
                  <c:v>76808.960000000225</c:v>
                </c:pt>
                <c:pt idx="301">
                  <c:v>75667.990000000224</c:v>
                </c:pt>
                <c:pt idx="302">
                  <c:v>74522.650000000227</c:v>
                </c:pt>
                <c:pt idx="303">
                  <c:v>73372.920000000231</c:v>
                </c:pt>
                <c:pt idx="304">
                  <c:v>72218.780000000232</c:v>
                </c:pt>
                <c:pt idx="305">
                  <c:v>71060.220000000234</c:v>
                </c:pt>
                <c:pt idx="306">
                  <c:v>69897.220000000234</c:v>
                </c:pt>
                <c:pt idx="307">
                  <c:v>68729.760000000228</c:v>
                </c:pt>
                <c:pt idx="308">
                  <c:v>67557.820000000225</c:v>
                </c:pt>
                <c:pt idx="309">
                  <c:v>66381.390000000232</c:v>
                </c:pt>
                <c:pt idx="310">
                  <c:v>65200.45000000023</c:v>
                </c:pt>
                <c:pt idx="311">
                  <c:v>64014.990000000231</c:v>
                </c:pt>
                <c:pt idx="312">
                  <c:v>62824.980000000229</c:v>
                </c:pt>
                <c:pt idx="313">
                  <c:v>61630.410000000229</c:v>
                </c:pt>
                <c:pt idx="314">
                  <c:v>60431.260000000228</c:v>
                </c:pt>
                <c:pt idx="315">
                  <c:v>59227.510000000228</c:v>
                </c:pt>
                <c:pt idx="316">
                  <c:v>58019.150000000227</c:v>
                </c:pt>
                <c:pt idx="317">
                  <c:v>56806.160000000229</c:v>
                </c:pt>
                <c:pt idx="318">
                  <c:v>55588.52000000023</c:v>
                </c:pt>
                <c:pt idx="319">
                  <c:v>54366.210000000232</c:v>
                </c:pt>
                <c:pt idx="320">
                  <c:v>53139.210000000232</c:v>
                </c:pt>
                <c:pt idx="321">
                  <c:v>51907.510000000235</c:v>
                </c:pt>
                <c:pt idx="322">
                  <c:v>50671.090000000237</c:v>
                </c:pt>
                <c:pt idx="323">
                  <c:v>49429.930000000233</c:v>
                </c:pt>
                <c:pt idx="324">
                  <c:v>48184.010000000235</c:v>
                </c:pt>
                <c:pt idx="325">
                  <c:v>46933.320000000233</c:v>
                </c:pt>
                <c:pt idx="326">
                  <c:v>45677.830000000235</c:v>
                </c:pt>
                <c:pt idx="327">
                  <c:v>44417.530000000232</c:v>
                </c:pt>
                <c:pt idx="328">
                  <c:v>43152.400000000234</c:v>
                </c:pt>
                <c:pt idx="329">
                  <c:v>41882.420000000231</c:v>
                </c:pt>
                <c:pt idx="330">
                  <c:v>40607.570000000233</c:v>
                </c:pt>
                <c:pt idx="331">
                  <c:v>39327.830000000235</c:v>
                </c:pt>
                <c:pt idx="332">
                  <c:v>38043.190000000235</c:v>
                </c:pt>
                <c:pt idx="333">
                  <c:v>36753.620000000235</c:v>
                </c:pt>
                <c:pt idx="334">
                  <c:v>35459.110000000233</c:v>
                </c:pt>
                <c:pt idx="335">
                  <c:v>34159.640000000232</c:v>
                </c:pt>
                <c:pt idx="336">
                  <c:v>32855.190000000235</c:v>
                </c:pt>
                <c:pt idx="337">
                  <c:v>31545.730000000236</c:v>
                </c:pt>
                <c:pt idx="338">
                  <c:v>30231.260000000235</c:v>
                </c:pt>
                <c:pt idx="339">
                  <c:v>28911.750000000236</c:v>
                </c:pt>
                <c:pt idx="340">
                  <c:v>27587.180000000237</c:v>
                </c:pt>
                <c:pt idx="341">
                  <c:v>26257.530000000235</c:v>
                </c:pt>
                <c:pt idx="342">
                  <c:v>24922.780000000235</c:v>
                </c:pt>
                <c:pt idx="343">
                  <c:v>23582.920000000235</c:v>
                </c:pt>
                <c:pt idx="344">
                  <c:v>22237.920000000235</c:v>
                </c:pt>
                <c:pt idx="345">
                  <c:v>20887.770000000233</c:v>
                </c:pt>
                <c:pt idx="346">
                  <c:v>19532.440000000232</c:v>
                </c:pt>
                <c:pt idx="347">
                  <c:v>18171.910000000233</c:v>
                </c:pt>
                <c:pt idx="348">
                  <c:v>16806.170000000231</c:v>
                </c:pt>
                <c:pt idx="349">
                  <c:v>15435.190000000232</c:v>
                </c:pt>
                <c:pt idx="350">
                  <c:v>14058.960000000232</c:v>
                </c:pt>
                <c:pt idx="351">
                  <c:v>12677.450000000232</c:v>
                </c:pt>
                <c:pt idx="352">
                  <c:v>11290.650000000231</c:v>
                </c:pt>
                <c:pt idx="353">
                  <c:v>9898.5300000002298</c:v>
                </c:pt>
                <c:pt idx="354">
                  <c:v>8501.0700000002289</c:v>
                </c:pt>
                <c:pt idx="355">
                  <c:v>7098.2600000002285</c:v>
                </c:pt>
                <c:pt idx="356">
                  <c:v>5690.0700000002289</c:v>
                </c:pt>
                <c:pt idx="357">
                  <c:v>4276.4800000002288</c:v>
                </c:pt>
                <c:pt idx="358">
                  <c:v>2857.4700000002285</c:v>
                </c:pt>
                <c:pt idx="359">
                  <c:v>1433.0200000002285</c:v>
                </c:pt>
                <c:pt idx="360">
                  <c:v>3.1100000002284105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3-9E49-A342-3AAB7EFE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60047"/>
        <c:axId val="909361743"/>
      </c:scatterChart>
      <c:valAx>
        <c:axId val="909360047"/>
        <c:scaling>
          <c:orientation val="minMax"/>
          <c:min val="431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8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1743"/>
        <c:crosses val="autoZero"/>
        <c:crossBetween val="midCat"/>
        <c:majorUnit val="1825"/>
        <c:minorUnit val="365"/>
      </c:valAx>
      <c:valAx>
        <c:axId val="90936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11</xdr:row>
          <xdr:rowOff>38100</xdr:rowOff>
        </xdr:from>
        <xdr:to>
          <xdr:col>3</xdr:col>
          <xdr:colOff>38100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GE Inspira Sans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165100</xdr:colOff>
      <xdr:row>1</xdr:row>
      <xdr:rowOff>152400</xdr:rowOff>
    </xdr:from>
    <xdr:to>
      <xdr:col>8</xdr:col>
      <xdr:colOff>857250</xdr:colOff>
      <xdr:row>15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726"/>
  <sheetViews>
    <sheetView showGridLines="0" tabSelected="1" zoomScale="130" zoomScaleNormal="130" workbookViewId="0">
      <selection activeCell="L5" sqref="L5"/>
    </sheetView>
  </sheetViews>
  <sheetFormatPr baseColWidth="10" defaultColWidth="8.83203125" defaultRowHeight="15"/>
  <cols>
    <col min="1" max="1" width="10.5" style="5" customWidth="1"/>
    <col min="2" max="2" width="12.1640625" style="2" bestFit="1" customWidth="1"/>
    <col min="3" max="3" width="10" style="2" customWidth="1"/>
    <col min="4" max="4" width="12.83203125" style="6" bestFit="1" customWidth="1"/>
    <col min="5" max="6" width="9.1640625" style="6" bestFit="1" customWidth="1"/>
    <col min="7" max="7" width="8.5" style="6" bestFit="1" customWidth="1"/>
    <col min="8" max="8" width="12.33203125" style="7" bestFit="1" customWidth="1"/>
    <col min="9" max="9" width="11.5" style="8" bestFit="1" customWidth="1"/>
    <col min="10" max="10" width="36" style="9" customWidth="1"/>
    <col min="11" max="11" width="8.83203125" style="10"/>
    <col min="12" max="12" width="12.1640625" style="10" bestFit="1" customWidth="1"/>
    <col min="13" max="13" width="8.83203125" style="11"/>
    <col min="14" max="14" width="7.83203125" style="11" customWidth="1"/>
    <col min="15" max="15" width="8.6640625" style="2" customWidth="1"/>
    <col min="16" max="16" width="11.6640625" style="2" bestFit="1" customWidth="1"/>
    <col min="17" max="20" width="8.83203125" style="2"/>
    <col min="21" max="23" width="14" style="33" customWidth="1"/>
    <col min="24" max="24" width="8.83203125" style="33"/>
    <col min="25" max="25" width="19.1640625" style="33" customWidth="1"/>
    <col min="26" max="26" width="8.83203125" style="2"/>
    <col min="27" max="27" width="10.5" style="2" customWidth="1"/>
    <col min="28" max="28" width="8.83203125" style="2"/>
    <col min="29" max="29" width="22.6640625" style="2" customWidth="1"/>
    <col min="30" max="16384" width="8.83203125" style="2"/>
  </cols>
  <sheetData>
    <row r="1" spans="1:37" s="3" customFormat="1" ht="16.5" customHeight="1">
      <c r="A1" s="1"/>
      <c r="B1" s="42" t="s">
        <v>8</v>
      </c>
      <c r="C1" s="43"/>
      <c r="D1" s="43"/>
      <c r="E1" s="43"/>
      <c r="F1" s="43"/>
      <c r="G1" s="43"/>
      <c r="H1" s="43"/>
      <c r="I1" s="43"/>
      <c r="J1" s="2"/>
      <c r="K1" s="2"/>
      <c r="L1" s="2"/>
      <c r="M1" s="2"/>
      <c r="N1" s="2"/>
      <c r="O1" s="2"/>
      <c r="U1" s="4"/>
      <c r="V1" s="4"/>
      <c r="W1" s="4"/>
      <c r="X1" s="4"/>
      <c r="Y1" s="4"/>
    </row>
    <row r="2" spans="1:37">
      <c r="O2" s="3"/>
      <c r="U2" s="2"/>
      <c r="V2" s="2"/>
      <c r="W2" s="2"/>
      <c r="X2" s="2"/>
      <c r="Y2" s="2"/>
    </row>
    <row r="3" spans="1:37" ht="16">
      <c r="B3" s="44" t="s">
        <v>9</v>
      </c>
      <c r="C3" s="45"/>
      <c r="H3" s="6"/>
      <c r="I3" s="6"/>
      <c r="J3" s="2"/>
      <c r="K3" s="2"/>
      <c r="L3" s="2"/>
      <c r="M3" s="2">
        <v>2326</v>
      </c>
      <c r="N3" s="2" t="s">
        <v>28</v>
      </c>
      <c r="U3" s="2"/>
      <c r="V3" s="2"/>
      <c r="W3" s="2"/>
      <c r="X3" s="2"/>
      <c r="Y3" s="2"/>
    </row>
    <row r="4" spans="1:37">
      <c r="H4" s="6"/>
      <c r="I4" s="6"/>
      <c r="J4" s="2"/>
      <c r="K4" s="12" t="s">
        <v>17</v>
      </c>
      <c r="L4" s="13">
        <v>350000</v>
      </c>
      <c r="M4" s="40">
        <f>L4/M3</f>
        <v>150.47291487532243</v>
      </c>
      <c r="N4" s="2" t="s">
        <v>27</v>
      </c>
      <c r="Q4" s="2" t="s">
        <v>29</v>
      </c>
      <c r="S4" s="2">
        <f>1725/100000</f>
        <v>1.7250000000000001E-2</v>
      </c>
      <c r="U4" s="2"/>
      <c r="V4" s="2"/>
      <c r="W4" s="2"/>
      <c r="X4" s="2"/>
      <c r="Y4" s="2"/>
    </row>
    <row r="5" spans="1:37">
      <c r="B5" s="12" t="s">
        <v>10</v>
      </c>
      <c r="C5" s="13">
        <f>(1-L5)*L4</f>
        <v>280000</v>
      </c>
      <c r="H5" s="6"/>
      <c r="I5" s="6"/>
      <c r="J5" s="2"/>
      <c r="K5" s="12" t="s">
        <v>18</v>
      </c>
      <c r="L5" s="14">
        <v>0.2</v>
      </c>
      <c r="M5" s="2"/>
      <c r="N5" s="2"/>
      <c r="U5" s="2"/>
      <c r="V5" s="2"/>
      <c r="W5" s="2"/>
      <c r="X5" s="2"/>
      <c r="Y5" s="2"/>
    </row>
    <row r="6" spans="1:37">
      <c r="B6" s="12" t="s">
        <v>11</v>
      </c>
      <c r="C6" s="14">
        <v>4.5999999999999999E-2</v>
      </c>
      <c r="H6" s="6"/>
      <c r="I6" s="6"/>
      <c r="J6" s="2"/>
      <c r="K6" s="12" t="s">
        <v>18</v>
      </c>
      <c r="L6" s="36">
        <f>L4*L5</f>
        <v>70000</v>
      </c>
      <c r="M6" s="2"/>
      <c r="N6" s="2"/>
      <c r="Q6" s="2" t="s">
        <v>30</v>
      </c>
      <c r="R6" s="15" t="s">
        <v>31</v>
      </c>
      <c r="S6" s="2" t="s">
        <v>32</v>
      </c>
      <c r="U6" s="2"/>
      <c r="V6" s="2"/>
      <c r="W6" s="2"/>
      <c r="X6" s="2"/>
      <c r="Y6" s="2"/>
      <c r="AD6" s="16"/>
      <c r="AE6" s="16"/>
      <c r="AF6" s="16"/>
      <c r="AG6" s="16"/>
      <c r="AH6" s="16"/>
      <c r="AI6" s="16"/>
      <c r="AJ6" s="16"/>
      <c r="AK6" s="16"/>
    </row>
    <row r="7" spans="1:37">
      <c r="B7" s="12" t="s">
        <v>12</v>
      </c>
      <c r="C7" s="17">
        <v>30</v>
      </c>
      <c r="H7" s="6"/>
      <c r="I7" s="18"/>
      <c r="J7" s="2"/>
      <c r="K7" s="2"/>
      <c r="L7" s="2"/>
      <c r="M7" s="2"/>
      <c r="N7" s="2"/>
      <c r="P7" s="41">
        <f>Q7/12</f>
        <v>602.5</v>
      </c>
      <c r="Q7" s="2">
        <v>7230</v>
      </c>
      <c r="R7" s="2">
        <v>258300</v>
      </c>
      <c r="S7" s="46">
        <f>Q7/R7</f>
        <v>2.7990708478513357E-2</v>
      </c>
      <c r="U7" s="2"/>
      <c r="V7" s="2"/>
      <c r="W7" s="2"/>
      <c r="X7" s="2"/>
      <c r="Y7" s="2"/>
      <c r="AD7" s="16"/>
      <c r="AE7" s="16"/>
      <c r="AF7" s="16"/>
      <c r="AG7" s="16"/>
      <c r="AH7" s="16"/>
      <c r="AI7" s="16"/>
      <c r="AJ7" s="16"/>
      <c r="AK7" s="16"/>
    </row>
    <row r="8" spans="1:37">
      <c r="B8" s="12" t="s">
        <v>14</v>
      </c>
      <c r="C8" s="13">
        <v>0</v>
      </c>
      <c r="H8" s="6"/>
      <c r="I8" s="6"/>
      <c r="J8" s="2"/>
      <c r="K8" s="12" t="s">
        <v>20</v>
      </c>
      <c r="L8" s="37">
        <f>E18</f>
        <v>1435.4</v>
      </c>
      <c r="M8" s="2"/>
      <c r="N8" s="2"/>
      <c r="P8" s="41">
        <f>Q8/12</f>
        <v>436.1466666666667</v>
      </c>
      <c r="Q8" s="41">
        <v>5233.76</v>
      </c>
      <c r="R8" s="2">
        <v>217300</v>
      </c>
      <c r="S8" s="46">
        <f>Q8/R8</f>
        <v>2.4085411872986656E-2</v>
      </c>
      <c r="U8" s="2"/>
      <c r="V8" s="2"/>
      <c r="W8" s="2"/>
      <c r="X8" s="2"/>
      <c r="Y8" s="2"/>
      <c r="AD8" s="19"/>
      <c r="AE8" s="19"/>
      <c r="AF8" s="19"/>
      <c r="AG8" s="19"/>
      <c r="AH8" s="19"/>
      <c r="AI8" s="19"/>
      <c r="AJ8" s="19"/>
      <c r="AK8" s="19"/>
    </row>
    <row r="9" spans="1:37">
      <c r="A9" s="20"/>
      <c r="B9" s="12" t="s">
        <v>15</v>
      </c>
      <c r="C9" s="21">
        <v>12</v>
      </c>
      <c r="H9" s="6"/>
      <c r="I9" s="6"/>
      <c r="J9" s="2"/>
      <c r="K9" s="12" t="s">
        <v>19</v>
      </c>
      <c r="L9" s="37">
        <v>621</v>
      </c>
      <c r="M9" s="2"/>
      <c r="N9" s="2"/>
      <c r="U9" s="2"/>
      <c r="V9" s="2"/>
      <c r="W9" s="2"/>
      <c r="X9" s="2"/>
      <c r="Y9" s="2"/>
      <c r="AD9" s="19"/>
      <c r="AE9" s="19"/>
      <c r="AF9" s="19"/>
      <c r="AG9" s="19"/>
      <c r="AH9" s="19"/>
      <c r="AI9" s="19"/>
      <c r="AJ9" s="19"/>
      <c r="AK9" s="19"/>
    </row>
    <row r="10" spans="1:37">
      <c r="B10" s="12" t="s">
        <v>13</v>
      </c>
      <c r="C10" s="22">
        <v>43184</v>
      </c>
      <c r="H10" s="6"/>
      <c r="I10" s="6"/>
      <c r="J10" s="2"/>
      <c r="K10" s="12" t="s">
        <v>21</v>
      </c>
      <c r="L10" s="37">
        <v>75</v>
      </c>
      <c r="M10" s="2"/>
      <c r="N10" s="2"/>
      <c r="U10" s="2"/>
      <c r="V10" s="2"/>
      <c r="W10" s="2"/>
      <c r="X10" s="2"/>
      <c r="Y10" s="2"/>
      <c r="AD10" s="19"/>
      <c r="AE10" s="19"/>
      <c r="AF10" s="19"/>
      <c r="AG10" s="19"/>
      <c r="AH10" s="19"/>
      <c r="AI10" s="19"/>
      <c r="AJ10" s="19"/>
      <c r="AK10" s="19"/>
    </row>
    <row r="11" spans="1:37">
      <c r="B11" s="12"/>
      <c r="C11" s="12"/>
      <c r="H11" s="6"/>
      <c r="I11" s="6"/>
      <c r="J11" s="2"/>
      <c r="K11" s="2"/>
      <c r="L11" s="2"/>
      <c r="M11" s="2"/>
      <c r="N11" s="2"/>
      <c r="U11" s="2"/>
      <c r="V11" s="2"/>
      <c r="W11" s="2"/>
      <c r="X11" s="2"/>
      <c r="Y11" s="2"/>
      <c r="AD11" s="19"/>
      <c r="AE11" s="19"/>
      <c r="AF11" s="19"/>
      <c r="AG11" s="19"/>
      <c r="AH11" s="19"/>
      <c r="AI11" s="19"/>
      <c r="AJ11" s="19"/>
      <c r="AK11" s="19"/>
    </row>
    <row r="12" spans="1:37">
      <c r="B12" s="12"/>
      <c r="C12" s="12"/>
      <c r="H12" s="6"/>
      <c r="I12" s="6"/>
      <c r="J12" s="2"/>
      <c r="K12" s="38" t="s">
        <v>22</v>
      </c>
      <c r="L12" s="37">
        <f>SUM(L8:L10)</f>
        <v>2131.4</v>
      </c>
      <c r="M12" s="2"/>
      <c r="N12" s="2"/>
      <c r="U12" s="2"/>
      <c r="V12" s="2"/>
      <c r="W12" s="2"/>
      <c r="X12" s="2"/>
      <c r="Y12" s="2"/>
      <c r="AD12" s="19"/>
      <c r="AE12" s="19"/>
      <c r="AF12" s="19"/>
      <c r="AG12" s="19"/>
      <c r="AH12" s="19"/>
      <c r="AI12" s="19"/>
      <c r="AJ12" s="19"/>
      <c r="AK12" s="19"/>
    </row>
    <row r="13" spans="1:37">
      <c r="A13" s="3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U13" s="2"/>
      <c r="V13" s="2"/>
      <c r="W13" s="2"/>
      <c r="X13" s="2"/>
      <c r="Y13" s="2"/>
      <c r="AD13" s="19"/>
      <c r="AE13" s="19"/>
      <c r="AF13" s="19"/>
      <c r="AG13" s="19"/>
      <c r="AH13" s="19"/>
      <c r="AI13" s="19"/>
      <c r="AJ13" s="19"/>
      <c r="AK13" s="19"/>
    </row>
    <row r="14" spans="1:37">
      <c r="A14" s="5">
        <v>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U14" s="2"/>
      <c r="V14" s="2"/>
      <c r="W14" s="2"/>
      <c r="X14" s="2"/>
      <c r="Y14" s="2"/>
      <c r="AD14" s="19"/>
      <c r="AE14" s="19"/>
      <c r="AF14" s="19"/>
      <c r="AG14" s="19"/>
      <c r="AH14" s="19"/>
      <c r="AI14" s="19"/>
      <c r="AJ14" s="19"/>
      <c r="AK14" s="19"/>
    </row>
    <row r="15" spans="1:37">
      <c r="A15" s="5">
        <v>1</v>
      </c>
      <c r="B15" s="12" t="s">
        <v>16</v>
      </c>
      <c r="C15" s="22">
        <v>54142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U15" s="2"/>
      <c r="V15" s="2"/>
      <c r="W15" s="2"/>
      <c r="X15" s="2"/>
      <c r="Y15" s="2"/>
      <c r="AD15" s="19"/>
      <c r="AE15" s="19"/>
      <c r="AF15" s="19"/>
      <c r="AG15" s="19"/>
      <c r="AH15" s="19"/>
      <c r="AI15" s="19"/>
      <c r="AJ15" s="19"/>
      <c r="AK15" s="19"/>
    </row>
    <row r="16" spans="1:37"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U16" s="2"/>
      <c r="V16" s="2"/>
      <c r="W16" s="2"/>
      <c r="X16" s="2"/>
      <c r="Y16" s="2"/>
      <c r="AD16" s="19"/>
      <c r="AE16" s="19"/>
      <c r="AF16" s="19"/>
      <c r="AG16" s="19"/>
      <c r="AH16" s="19"/>
      <c r="AI16" s="19"/>
      <c r="AJ16" s="19"/>
      <c r="AK16" s="19"/>
    </row>
    <row r="17" spans="1:37">
      <c r="B17" s="23" t="s">
        <v>0</v>
      </c>
      <c r="C17" s="24" t="s">
        <v>2</v>
      </c>
      <c r="D17" s="6" t="s">
        <v>3</v>
      </c>
      <c r="E17" s="6" t="s">
        <v>4</v>
      </c>
      <c r="F17" s="6" t="s">
        <v>1</v>
      </c>
      <c r="G17" s="6" t="s">
        <v>5</v>
      </c>
      <c r="H17" s="6" t="s">
        <v>6</v>
      </c>
      <c r="I17" s="6" t="s">
        <v>7</v>
      </c>
      <c r="J17" s="2"/>
      <c r="K17" s="2"/>
      <c r="L17" s="2"/>
      <c r="M17" s="2"/>
      <c r="N17" s="2"/>
      <c r="U17" s="2"/>
      <c r="V17" s="2"/>
      <c r="W17" s="2"/>
      <c r="X17" s="2"/>
      <c r="Y17" s="2"/>
      <c r="AD17" s="19"/>
      <c r="AE17" s="19"/>
      <c r="AF17" s="19"/>
      <c r="AG17" s="19"/>
      <c r="AH17" s="19"/>
      <c r="AI17" s="19"/>
      <c r="AJ17" s="19"/>
      <c r="AK17" s="19"/>
    </row>
    <row r="18" spans="1:37">
      <c r="A18" s="5">
        <v>0</v>
      </c>
      <c r="B18" s="25">
        <v>43184</v>
      </c>
      <c r="C18" s="24">
        <v>1</v>
      </c>
      <c r="D18" s="6">
        <v>280000</v>
      </c>
      <c r="E18" s="6">
        <v>1435.4</v>
      </c>
      <c r="F18" s="6">
        <v>362.07000000000016</v>
      </c>
      <c r="G18" s="6">
        <v>1073.33</v>
      </c>
      <c r="H18" s="6">
        <v>0</v>
      </c>
      <c r="I18" s="6">
        <v>279637.93</v>
      </c>
      <c r="J18" s="2"/>
      <c r="K18" s="39" t="s">
        <v>23</v>
      </c>
      <c r="L18" s="2"/>
      <c r="M18" s="2"/>
      <c r="N18" s="2"/>
      <c r="U18" s="2"/>
      <c r="V18" s="2"/>
      <c r="W18" s="2"/>
      <c r="X18" s="2"/>
      <c r="Y18" s="2"/>
      <c r="AD18" s="19"/>
      <c r="AE18" s="19"/>
      <c r="AF18" s="19"/>
      <c r="AG18" s="19"/>
      <c r="AH18" s="19"/>
      <c r="AI18" s="19"/>
      <c r="AJ18" s="19"/>
      <c r="AK18" s="19"/>
    </row>
    <row r="19" spans="1:37">
      <c r="A19" s="5">
        <v>1</v>
      </c>
      <c r="B19" s="25">
        <v>43215</v>
      </c>
      <c r="C19" s="24">
        <v>2</v>
      </c>
      <c r="D19" s="6">
        <v>279637.93</v>
      </c>
      <c r="E19" s="6">
        <v>1435.4</v>
      </c>
      <c r="F19" s="6">
        <v>363.45000000000005</v>
      </c>
      <c r="G19" s="6">
        <v>1071.95</v>
      </c>
      <c r="H19" s="6">
        <v>0</v>
      </c>
      <c r="I19" s="6">
        <v>279274.48</v>
      </c>
      <c r="J19" s="2"/>
      <c r="K19" s="39" t="s">
        <v>24</v>
      </c>
      <c r="L19" s="2"/>
      <c r="M19" s="2"/>
      <c r="N19" s="2"/>
      <c r="U19" s="2"/>
      <c r="V19" s="2"/>
      <c r="W19" s="2"/>
      <c r="X19" s="2"/>
      <c r="Y19" s="2"/>
      <c r="AD19" s="19"/>
      <c r="AE19" s="19"/>
      <c r="AF19" s="19"/>
      <c r="AG19" s="19"/>
      <c r="AH19" s="19"/>
      <c r="AI19" s="19"/>
      <c r="AJ19" s="19"/>
      <c r="AK19" s="19"/>
    </row>
    <row r="20" spans="1:37">
      <c r="A20" s="5">
        <v>2</v>
      </c>
      <c r="B20" s="25">
        <v>43245</v>
      </c>
      <c r="C20" s="24">
        <v>3</v>
      </c>
      <c r="D20" s="6">
        <v>279274.48</v>
      </c>
      <c r="E20" s="6">
        <v>1435.4</v>
      </c>
      <c r="F20" s="6">
        <v>364.85000000000014</v>
      </c>
      <c r="G20" s="6">
        <v>1070.55</v>
      </c>
      <c r="H20" s="6">
        <v>0</v>
      </c>
      <c r="I20" s="6">
        <v>278909.63</v>
      </c>
      <c r="J20" s="2"/>
      <c r="K20" s="39" t="s">
        <v>25</v>
      </c>
      <c r="L20" s="2"/>
      <c r="M20" s="2"/>
      <c r="N20" s="2"/>
      <c r="U20" s="2"/>
      <c r="V20" s="2"/>
      <c r="W20" s="2"/>
      <c r="X20" s="2"/>
      <c r="Y20" s="2"/>
      <c r="AD20" s="19"/>
      <c r="AE20" s="19"/>
      <c r="AF20" s="19"/>
      <c r="AG20" s="19"/>
      <c r="AH20" s="19"/>
      <c r="AI20" s="19"/>
      <c r="AJ20" s="19"/>
      <c r="AK20" s="19"/>
    </row>
    <row r="21" spans="1:37">
      <c r="A21" s="5">
        <v>3</v>
      </c>
      <c r="B21" s="25">
        <v>43276</v>
      </c>
      <c r="C21" s="24">
        <v>4</v>
      </c>
      <c r="D21" s="6">
        <v>278909.63</v>
      </c>
      <c r="E21" s="6">
        <v>1435.4</v>
      </c>
      <c r="F21" s="6">
        <v>366.25</v>
      </c>
      <c r="G21" s="6">
        <v>1069.1500000000001</v>
      </c>
      <c r="H21" s="6">
        <v>0</v>
      </c>
      <c r="I21" s="6">
        <v>278543.38</v>
      </c>
      <c r="J21" s="2"/>
      <c r="K21" s="39" t="s">
        <v>26</v>
      </c>
      <c r="L21" s="2"/>
      <c r="M21" s="2"/>
      <c r="N21" s="2"/>
      <c r="U21" s="2"/>
      <c r="V21" s="2"/>
      <c r="W21" s="2"/>
      <c r="X21" s="2"/>
      <c r="Y21" s="2"/>
      <c r="AD21" s="19"/>
      <c r="AE21" s="19"/>
      <c r="AF21" s="19"/>
      <c r="AG21" s="19"/>
      <c r="AH21" s="19"/>
      <c r="AI21" s="19"/>
      <c r="AJ21" s="19"/>
      <c r="AK21" s="19"/>
    </row>
    <row r="22" spans="1:37">
      <c r="A22" s="5">
        <v>4</v>
      </c>
      <c r="B22" s="25">
        <v>43306</v>
      </c>
      <c r="C22" s="24">
        <v>5</v>
      </c>
      <c r="D22" s="6">
        <v>278543.38</v>
      </c>
      <c r="E22" s="6">
        <v>1435.4</v>
      </c>
      <c r="F22" s="6">
        <v>367.65000000000009</v>
      </c>
      <c r="G22" s="6">
        <v>1067.75</v>
      </c>
      <c r="H22" s="6">
        <v>0</v>
      </c>
      <c r="I22" s="6">
        <v>278175.73</v>
      </c>
      <c r="J22" s="2"/>
      <c r="K22" s="2"/>
      <c r="L22" s="2"/>
      <c r="M22" s="2"/>
      <c r="N22" s="2"/>
      <c r="U22" s="2"/>
      <c r="V22" s="2"/>
      <c r="W22" s="2"/>
      <c r="X22" s="2"/>
      <c r="Y22" s="2"/>
      <c r="AD22" s="19"/>
      <c r="AE22" s="19"/>
      <c r="AF22" s="19"/>
      <c r="AG22" s="19"/>
      <c r="AH22" s="19"/>
      <c r="AI22" s="19"/>
      <c r="AJ22" s="19"/>
      <c r="AK22" s="19"/>
    </row>
    <row r="23" spans="1:37" ht="16.5" customHeight="1">
      <c r="A23" s="5">
        <v>5</v>
      </c>
      <c r="B23" s="25">
        <v>43337</v>
      </c>
      <c r="C23" s="24">
        <v>6</v>
      </c>
      <c r="D23" s="6">
        <v>278175.73</v>
      </c>
      <c r="E23" s="6">
        <v>1435.4</v>
      </c>
      <c r="F23" s="6">
        <v>369.06000000000017</v>
      </c>
      <c r="G23" s="6">
        <v>1066.3399999999999</v>
      </c>
      <c r="H23" s="6">
        <v>0</v>
      </c>
      <c r="I23" s="6">
        <v>277806.67</v>
      </c>
      <c r="J23" s="2"/>
      <c r="K23" s="2"/>
      <c r="L23" s="2"/>
      <c r="M23" s="2"/>
      <c r="N23" s="2"/>
      <c r="U23" s="2"/>
      <c r="V23" s="2"/>
      <c r="W23" s="2"/>
      <c r="X23" s="2"/>
      <c r="Y23" s="2"/>
      <c r="AD23" s="19"/>
      <c r="AE23" s="19"/>
      <c r="AF23" s="19"/>
      <c r="AG23" s="19"/>
      <c r="AH23" s="19"/>
      <c r="AI23" s="19"/>
      <c r="AJ23" s="19"/>
      <c r="AK23" s="19"/>
    </row>
    <row r="24" spans="1:37" ht="16.5" customHeight="1">
      <c r="A24" s="5">
        <v>6</v>
      </c>
      <c r="B24" s="25">
        <v>43368</v>
      </c>
      <c r="C24" s="24">
        <v>7</v>
      </c>
      <c r="D24" s="6">
        <v>277806.67</v>
      </c>
      <c r="E24" s="6">
        <v>1435.4</v>
      </c>
      <c r="F24" s="6">
        <v>370.47</v>
      </c>
      <c r="G24" s="6">
        <v>1064.93</v>
      </c>
      <c r="H24" s="6">
        <v>0</v>
      </c>
      <c r="I24" s="6">
        <v>277436.2</v>
      </c>
      <c r="J24" s="2"/>
      <c r="K24" s="2"/>
      <c r="L24" s="2"/>
      <c r="M24" s="2"/>
      <c r="N24" s="2"/>
      <c r="U24" s="2"/>
      <c r="V24" s="2"/>
      <c r="W24" s="2"/>
      <c r="X24" s="2"/>
      <c r="Y24" s="2"/>
      <c r="AD24" s="19"/>
      <c r="AE24" s="19"/>
      <c r="AF24" s="19"/>
      <c r="AG24" s="19"/>
      <c r="AH24" s="19"/>
      <c r="AI24" s="19"/>
      <c r="AJ24" s="19"/>
      <c r="AK24" s="19"/>
    </row>
    <row r="25" spans="1:37" ht="16.5" customHeight="1">
      <c r="A25" s="5">
        <v>7</v>
      </c>
      <c r="B25" s="25">
        <v>43398</v>
      </c>
      <c r="C25" s="24">
        <v>8</v>
      </c>
      <c r="D25" s="6">
        <v>277436.2</v>
      </c>
      <c r="E25" s="6">
        <v>1435.4</v>
      </c>
      <c r="F25" s="6">
        <v>371.8900000000001</v>
      </c>
      <c r="G25" s="6">
        <v>1063.51</v>
      </c>
      <c r="H25" s="6">
        <v>0</v>
      </c>
      <c r="I25" s="6">
        <v>277064.31</v>
      </c>
      <c r="J25" s="2"/>
      <c r="K25" s="2"/>
      <c r="L25" s="2"/>
      <c r="M25" s="2"/>
      <c r="N25" s="2"/>
      <c r="T25" s="19"/>
      <c r="U25" s="26"/>
      <c r="V25" s="26"/>
      <c r="W25" s="26"/>
      <c r="X25" s="27"/>
      <c r="Y25" s="27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</row>
    <row r="26" spans="1:37" s="19" customFormat="1" ht="16.5" customHeight="1">
      <c r="A26" s="5">
        <v>8</v>
      </c>
      <c r="B26" s="25">
        <v>43429</v>
      </c>
      <c r="C26" s="24">
        <v>9</v>
      </c>
      <c r="D26" s="6">
        <v>277064.31</v>
      </c>
      <c r="E26" s="6">
        <v>1435.4</v>
      </c>
      <c r="F26" s="6">
        <v>373.32000000000016</v>
      </c>
      <c r="G26" s="6">
        <v>1062.08</v>
      </c>
      <c r="H26" s="6">
        <v>0</v>
      </c>
      <c r="I26" s="6">
        <v>276690.99</v>
      </c>
      <c r="J26" s="2"/>
      <c r="K26" s="2"/>
      <c r="L26" s="2"/>
      <c r="M26" s="2"/>
      <c r="N26" s="2"/>
      <c r="O26" s="2"/>
      <c r="P26" s="2"/>
      <c r="Q26" s="2"/>
      <c r="R26" s="2"/>
      <c r="T26" s="28"/>
      <c r="U26" s="26"/>
      <c r="V26" s="26"/>
      <c r="W26" s="26"/>
      <c r="X26" s="27"/>
      <c r="Y26" s="27"/>
    </row>
    <row r="27" spans="1:37" s="28" customFormat="1" ht="16.5" customHeight="1">
      <c r="A27" s="5">
        <v>9</v>
      </c>
      <c r="B27" s="25">
        <v>43459</v>
      </c>
      <c r="C27" s="24">
        <v>10</v>
      </c>
      <c r="D27" s="6">
        <v>276690.99</v>
      </c>
      <c r="E27" s="6">
        <v>1435.4</v>
      </c>
      <c r="F27" s="6">
        <v>374.75</v>
      </c>
      <c r="G27" s="6">
        <v>1060.6500000000001</v>
      </c>
      <c r="H27" s="6">
        <v>0</v>
      </c>
      <c r="I27" s="6">
        <v>276316.24</v>
      </c>
      <c r="J27" s="2"/>
      <c r="K27" s="2"/>
      <c r="L27" s="2"/>
      <c r="M27" s="2"/>
      <c r="N27" s="2"/>
      <c r="O27" s="2"/>
      <c r="P27" s="2"/>
      <c r="Q27" s="2"/>
      <c r="R27" s="2"/>
      <c r="T27" s="19"/>
      <c r="U27" s="26"/>
      <c r="V27" s="26"/>
      <c r="W27" s="26"/>
      <c r="X27" s="27"/>
      <c r="Y27" s="27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</row>
    <row r="28" spans="1:37" s="19" customFormat="1" ht="16.5" customHeight="1">
      <c r="A28" s="5">
        <v>10</v>
      </c>
      <c r="B28" s="25">
        <v>43490</v>
      </c>
      <c r="C28" s="24">
        <v>11</v>
      </c>
      <c r="D28" s="6">
        <v>276316.24</v>
      </c>
      <c r="E28" s="6">
        <v>1435.4</v>
      </c>
      <c r="F28" s="6">
        <v>376.19000000000005</v>
      </c>
      <c r="G28" s="6">
        <v>1059.21</v>
      </c>
      <c r="H28" s="6">
        <v>0</v>
      </c>
      <c r="I28" s="6">
        <v>275940.05</v>
      </c>
      <c r="J28" s="2"/>
      <c r="K28" s="2"/>
      <c r="L28" s="2"/>
      <c r="M28" s="2"/>
      <c r="N28" s="2"/>
      <c r="O28" s="2"/>
      <c r="P28" s="2"/>
      <c r="Q28" s="2"/>
      <c r="R28" s="2"/>
      <c r="U28" s="26"/>
      <c r="V28" s="26"/>
      <c r="W28" s="26"/>
      <c r="X28" s="27"/>
      <c r="Y28" s="27"/>
    </row>
    <row r="29" spans="1:37" s="19" customFormat="1" ht="16.5" customHeight="1">
      <c r="A29" s="5">
        <v>11</v>
      </c>
      <c r="B29" s="25">
        <v>43521</v>
      </c>
      <c r="C29" s="24">
        <v>12</v>
      </c>
      <c r="D29" s="6">
        <v>275940.05</v>
      </c>
      <c r="E29" s="6">
        <v>1435.4</v>
      </c>
      <c r="F29" s="6">
        <v>377.63000000000011</v>
      </c>
      <c r="G29" s="6">
        <v>1057.77</v>
      </c>
      <c r="H29" s="6">
        <v>0</v>
      </c>
      <c r="I29" s="6">
        <v>275562.42</v>
      </c>
      <c r="J29" s="2"/>
      <c r="K29" s="2"/>
      <c r="L29" s="2"/>
      <c r="M29" s="2"/>
      <c r="N29" s="2"/>
      <c r="O29" s="2"/>
      <c r="P29" s="2"/>
      <c r="Q29" s="2"/>
      <c r="R29" s="2"/>
      <c r="U29" s="26"/>
      <c r="V29" s="26"/>
      <c r="W29" s="26"/>
      <c r="X29" s="27"/>
      <c r="Y29" s="27"/>
    </row>
    <row r="30" spans="1:37" s="19" customFormat="1" ht="16.5" customHeight="1">
      <c r="A30" s="5">
        <v>12</v>
      </c>
      <c r="B30" s="25">
        <v>43549</v>
      </c>
      <c r="C30" s="24">
        <v>13</v>
      </c>
      <c r="D30" s="6">
        <v>275562.42</v>
      </c>
      <c r="E30" s="6">
        <v>1435.4</v>
      </c>
      <c r="F30" s="6">
        <v>379.08000000000015</v>
      </c>
      <c r="G30" s="6">
        <v>1056.32</v>
      </c>
      <c r="H30" s="6">
        <v>0</v>
      </c>
      <c r="I30" s="6">
        <v>275183.33999999997</v>
      </c>
      <c r="J30" s="2"/>
      <c r="K30" s="2"/>
      <c r="L30" s="2"/>
      <c r="M30" s="2"/>
      <c r="N30" s="2"/>
      <c r="O30" s="2"/>
      <c r="P30" s="2"/>
      <c r="Q30" s="2"/>
      <c r="R30" s="2"/>
      <c r="U30" s="26"/>
      <c r="V30" s="26"/>
      <c r="W30" s="26"/>
      <c r="X30" s="27"/>
      <c r="Y30" s="27"/>
    </row>
    <row r="31" spans="1:37" s="19" customFormat="1" ht="16.5" customHeight="1">
      <c r="A31" s="5">
        <v>13</v>
      </c>
      <c r="B31" s="25">
        <v>43580</v>
      </c>
      <c r="C31" s="24">
        <v>14</v>
      </c>
      <c r="D31" s="6">
        <v>275183.33999999997</v>
      </c>
      <c r="E31" s="6">
        <v>1435.4</v>
      </c>
      <c r="F31" s="6">
        <v>380.5300000000002</v>
      </c>
      <c r="G31" s="6">
        <v>1054.8699999999999</v>
      </c>
      <c r="H31" s="6">
        <v>0</v>
      </c>
      <c r="I31" s="6">
        <v>274802.80999999994</v>
      </c>
      <c r="J31" s="2"/>
      <c r="K31" s="2"/>
      <c r="L31" s="2"/>
      <c r="M31" s="2"/>
      <c r="N31" s="2"/>
      <c r="O31" s="2"/>
      <c r="P31" s="2"/>
      <c r="Q31" s="2"/>
      <c r="R31" s="2"/>
      <c r="U31" s="26"/>
      <c r="V31" s="26"/>
      <c r="W31" s="26"/>
      <c r="X31" s="27"/>
      <c r="Y31" s="27"/>
    </row>
    <row r="32" spans="1:37" s="19" customFormat="1" ht="16.5" customHeight="1">
      <c r="A32" s="5">
        <v>14</v>
      </c>
      <c r="B32" s="25">
        <v>43610</v>
      </c>
      <c r="C32" s="24">
        <v>15</v>
      </c>
      <c r="D32" s="6">
        <v>274802.80999999994</v>
      </c>
      <c r="E32" s="6">
        <v>1435.4</v>
      </c>
      <c r="F32" s="6">
        <v>381.99</v>
      </c>
      <c r="G32" s="6">
        <v>1053.4100000000001</v>
      </c>
      <c r="H32" s="6">
        <v>0</v>
      </c>
      <c r="I32" s="6">
        <v>274420.81999999995</v>
      </c>
      <c r="J32" s="2"/>
      <c r="K32" s="2"/>
      <c r="L32" s="2"/>
      <c r="M32" s="2"/>
      <c r="N32" s="2"/>
      <c r="O32" s="2"/>
      <c r="P32" s="2"/>
      <c r="Q32" s="2"/>
      <c r="R32" s="2"/>
      <c r="U32" s="27"/>
      <c r="V32" s="27"/>
      <c r="W32" s="27"/>
      <c r="X32" s="27"/>
      <c r="Y32" s="27"/>
    </row>
    <row r="33" spans="1:25" s="19" customFormat="1" ht="16.5" customHeight="1">
      <c r="A33" s="29">
        <v>15</v>
      </c>
      <c r="B33" s="25">
        <v>43641</v>
      </c>
      <c r="C33" s="24">
        <v>16</v>
      </c>
      <c r="D33" s="6">
        <v>274420.81999999995</v>
      </c>
      <c r="E33" s="6">
        <v>1435.4</v>
      </c>
      <c r="F33" s="6">
        <v>383.45000000000005</v>
      </c>
      <c r="G33" s="6">
        <v>1051.95</v>
      </c>
      <c r="H33" s="6">
        <v>0</v>
      </c>
      <c r="I33" s="6">
        <v>274037.36999999994</v>
      </c>
      <c r="J33" s="2"/>
      <c r="K33" s="2"/>
      <c r="L33" s="2"/>
      <c r="M33" s="2"/>
      <c r="N33" s="2"/>
      <c r="O33" s="2"/>
      <c r="P33" s="2"/>
      <c r="Q33" s="2"/>
      <c r="R33" s="2"/>
      <c r="U33" s="27"/>
      <c r="V33" s="27"/>
      <c r="W33" s="27"/>
      <c r="X33" s="27"/>
      <c r="Y33" s="27"/>
    </row>
    <row r="34" spans="1:25" s="19" customFormat="1" ht="16.5" customHeight="1">
      <c r="A34" s="30">
        <v>16</v>
      </c>
      <c r="B34" s="25">
        <v>43671</v>
      </c>
      <c r="C34" s="24">
        <v>17</v>
      </c>
      <c r="D34" s="6">
        <v>274037.36999999994</v>
      </c>
      <c r="E34" s="6">
        <v>1435.4</v>
      </c>
      <c r="F34" s="6">
        <v>384.92000000000007</v>
      </c>
      <c r="G34" s="6">
        <v>1050.48</v>
      </c>
      <c r="H34" s="6">
        <v>0</v>
      </c>
      <c r="I34" s="6">
        <v>273652.44999999995</v>
      </c>
      <c r="J34" s="2"/>
      <c r="K34" s="2"/>
      <c r="L34" s="2"/>
      <c r="M34" s="2"/>
      <c r="N34" s="2"/>
      <c r="O34" s="2"/>
      <c r="P34" s="2"/>
      <c r="Q34" s="2"/>
      <c r="R34" s="2"/>
      <c r="U34" s="27"/>
      <c r="V34" s="27"/>
      <c r="W34" s="27"/>
      <c r="X34" s="27"/>
      <c r="Y34" s="27"/>
    </row>
    <row r="35" spans="1:25" s="19" customFormat="1" ht="16.5" customHeight="1">
      <c r="A35" s="31">
        <v>17</v>
      </c>
      <c r="B35" s="25">
        <v>43702</v>
      </c>
      <c r="C35" s="24">
        <v>18</v>
      </c>
      <c r="D35" s="6">
        <v>273652.44999999995</v>
      </c>
      <c r="E35" s="6">
        <v>1435.4</v>
      </c>
      <c r="F35" s="6">
        <v>386.40000000000009</v>
      </c>
      <c r="G35" s="6">
        <v>1049</v>
      </c>
      <c r="H35" s="6">
        <v>0</v>
      </c>
      <c r="I35" s="6">
        <v>273266.04999999993</v>
      </c>
      <c r="J35" s="2"/>
      <c r="K35" s="2"/>
      <c r="L35" s="2"/>
      <c r="M35" s="2"/>
      <c r="N35" s="2"/>
      <c r="O35" s="2"/>
      <c r="P35" s="2"/>
      <c r="Q35" s="2"/>
      <c r="R35" s="2"/>
      <c r="U35" s="27"/>
      <c r="V35" s="27"/>
      <c r="W35" s="27"/>
      <c r="X35" s="27"/>
      <c r="Y35" s="27"/>
    </row>
    <row r="36" spans="1:25" s="19" customFormat="1" ht="16.5" customHeight="1">
      <c r="A36" s="32">
        <v>18</v>
      </c>
      <c r="B36" s="25">
        <v>43733</v>
      </c>
      <c r="C36" s="24">
        <v>19</v>
      </c>
      <c r="D36" s="6">
        <v>273266.04999999993</v>
      </c>
      <c r="E36" s="6">
        <v>1435.4</v>
      </c>
      <c r="F36" s="6">
        <v>387.88000000000011</v>
      </c>
      <c r="G36" s="6">
        <v>1047.52</v>
      </c>
      <c r="H36" s="6">
        <v>0</v>
      </c>
      <c r="I36" s="6">
        <v>272878.16999999993</v>
      </c>
      <c r="J36" s="2"/>
      <c r="K36" s="2"/>
      <c r="L36" s="2"/>
      <c r="M36" s="2"/>
      <c r="N36" s="2"/>
      <c r="O36" s="2"/>
      <c r="P36" s="2"/>
      <c r="Q36" s="2"/>
      <c r="R36" s="2"/>
      <c r="U36" s="27"/>
      <c r="V36" s="27"/>
      <c r="W36" s="27"/>
      <c r="X36" s="27"/>
      <c r="Y36" s="27"/>
    </row>
    <row r="37" spans="1:25" s="19" customFormat="1" ht="16.5" customHeight="1">
      <c r="A37" s="32">
        <v>19</v>
      </c>
      <c r="B37" s="25">
        <v>43763</v>
      </c>
      <c r="C37" s="24">
        <v>20</v>
      </c>
      <c r="D37" s="6">
        <v>272878.16999999993</v>
      </c>
      <c r="E37" s="6">
        <v>1435.4</v>
      </c>
      <c r="F37" s="6">
        <v>389.37000000000012</v>
      </c>
      <c r="G37" s="6">
        <v>1046.03</v>
      </c>
      <c r="H37" s="6">
        <v>0</v>
      </c>
      <c r="I37" s="6">
        <v>272488.79999999993</v>
      </c>
      <c r="J37" s="2"/>
      <c r="K37" s="2"/>
      <c r="L37" s="2"/>
      <c r="M37" s="2"/>
      <c r="N37" s="2"/>
      <c r="O37" s="2"/>
      <c r="P37" s="2"/>
      <c r="Q37" s="2"/>
      <c r="R37" s="2"/>
      <c r="U37" s="27"/>
      <c r="V37" s="27"/>
      <c r="W37" s="27"/>
      <c r="X37" s="27"/>
      <c r="Y37" s="27"/>
    </row>
    <row r="38" spans="1:25" s="19" customFormat="1" ht="16.5" customHeight="1">
      <c r="A38" s="32">
        <v>20</v>
      </c>
      <c r="B38" s="25">
        <v>43794</v>
      </c>
      <c r="C38" s="24">
        <v>21</v>
      </c>
      <c r="D38" s="6">
        <v>272488.79999999993</v>
      </c>
      <c r="E38" s="6">
        <v>1435.4</v>
      </c>
      <c r="F38" s="6">
        <v>390.86000000000013</v>
      </c>
      <c r="G38" s="6">
        <v>1044.54</v>
      </c>
      <c r="H38" s="6">
        <v>0</v>
      </c>
      <c r="I38" s="6">
        <v>272097.93999999994</v>
      </c>
      <c r="J38" s="2"/>
      <c r="K38" s="2"/>
      <c r="L38" s="2"/>
      <c r="M38" s="2"/>
      <c r="N38" s="2"/>
      <c r="O38" s="2"/>
      <c r="P38" s="2"/>
      <c r="Q38" s="2"/>
      <c r="R38" s="2"/>
      <c r="U38" s="27"/>
      <c r="V38" s="27"/>
      <c r="W38" s="27"/>
      <c r="X38" s="27"/>
      <c r="Y38" s="27"/>
    </row>
    <row r="39" spans="1:25" s="19" customFormat="1" ht="16.5" customHeight="1">
      <c r="A39" s="32">
        <v>21</v>
      </c>
      <c r="B39" s="25">
        <v>43824</v>
      </c>
      <c r="C39" s="24">
        <v>22</v>
      </c>
      <c r="D39" s="6">
        <v>272097.93999999994</v>
      </c>
      <c r="E39" s="6">
        <v>1435.4</v>
      </c>
      <c r="F39" s="6">
        <v>392.36000000000013</v>
      </c>
      <c r="G39" s="6">
        <v>1043.04</v>
      </c>
      <c r="H39" s="6">
        <v>0</v>
      </c>
      <c r="I39" s="6">
        <v>271705.57999999996</v>
      </c>
      <c r="J39" s="2"/>
      <c r="K39" s="2"/>
      <c r="L39" s="2"/>
      <c r="M39" s="2"/>
      <c r="N39" s="2"/>
      <c r="O39" s="2"/>
      <c r="P39" s="2"/>
      <c r="Q39" s="2"/>
      <c r="R39" s="2"/>
      <c r="U39" s="27"/>
      <c r="V39" s="27"/>
      <c r="W39" s="27"/>
      <c r="X39" s="27"/>
      <c r="Y39" s="27"/>
    </row>
    <row r="40" spans="1:25" s="19" customFormat="1" ht="16.5" customHeight="1">
      <c r="A40" s="32">
        <v>22</v>
      </c>
      <c r="B40" s="25">
        <v>43855</v>
      </c>
      <c r="C40" s="24">
        <v>23</v>
      </c>
      <c r="D40" s="6">
        <v>271705.57999999996</v>
      </c>
      <c r="E40" s="6">
        <v>1435.4</v>
      </c>
      <c r="F40" s="6">
        <v>393.86000000000013</v>
      </c>
      <c r="G40" s="6">
        <v>1041.54</v>
      </c>
      <c r="H40" s="6">
        <v>0</v>
      </c>
      <c r="I40" s="6">
        <v>271311.71999999997</v>
      </c>
      <c r="J40" s="2"/>
      <c r="K40" s="2"/>
      <c r="L40" s="2"/>
      <c r="M40" s="2"/>
      <c r="N40" s="2"/>
      <c r="O40" s="2"/>
      <c r="P40" s="2"/>
      <c r="Q40" s="2"/>
      <c r="R40" s="2"/>
      <c r="U40" s="27"/>
      <c r="V40" s="27"/>
      <c r="W40" s="27"/>
      <c r="X40" s="27"/>
      <c r="Y40" s="27"/>
    </row>
    <row r="41" spans="1:25" s="19" customFormat="1" ht="16.5" customHeight="1">
      <c r="A41" s="32">
        <v>23</v>
      </c>
      <c r="B41" s="25">
        <v>43886</v>
      </c>
      <c r="C41" s="24">
        <v>24</v>
      </c>
      <c r="D41" s="6">
        <v>271311.71999999997</v>
      </c>
      <c r="E41" s="6">
        <v>1435.4</v>
      </c>
      <c r="F41" s="6">
        <v>395.37000000000012</v>
      </c>
      <c r="G41" s="6">
        <v>1040.03</v>
      </c>
      <c r="H41" s="6">
        <v>0</v>
      </c>
      <c r="I41" s="6">
        <v>270916.34999999998</v>
      </c>
      <c r="J41" s="2"/>
      <c r="K41" s="2"/>
      <c r="L41" s="2"/>
      <c r="M41" s="2"/>
      <c r="N41" s="2"/>
      <c r="O41" s="2"/>
      <c r="P41" s="2"/>
      <c r="Q41" s="2"/>
      <c r="R41" s="2"/>
      <c r="U41" s="27"/>
      <c r="V41" s="27"/>
      <c r="W41" s="27"/>
      <c r="X41" s="27"/>
      <c r="Y41" s="27"/>
    </row>
    <row r="42" spans="1:25" s="19" customFormat="1" ht="16.5" customHeight="1">
      <c r="A42" s="32">
        <v>24</v>
      </c>
      <c r="B42" s="25">
        <v>43915</v>
      </c>
      <c r="C42" s="24">
        <v>25</v>
      </c>
      <c r="D42" s="6">
        <v>270916.34999999998</v>
      </c>
      <c r="E42" s="6">
        <v>1435.4</v>
      </c>
      <c r="F42" s="6">
        <v>396.8900000000001</v>
      </c>
      <c r="G42" s="6">
        <v>1038.51</v>
      </c>
      <c r="H42" s="6">
        <v>0</v>
      </c>
      <c r="I42" s="6">
        <v>270519.45999999996</v>
      </c>
      <c r="J42" s="2"/>
      <c r="K42" s="2"/>
      <c r="L42" s="2"/>
      <c r="M42" s="2"/>
      <c r="N42" s="2"/>
      <c r="O42" s="2"/>
      <c r="P42" s="2"/>
      <c r="Q42" s="2"/>
      <c r="R42" s="2"/>
      <c r="U42" s="27"/>
      <c r="V42" s="27"/>
      <c r="W42" s="27"/>
      <c r="X42" s="27"/>
      <c r="Y42" s="27"/>
    </row>
    <row r="43" spans="1:25" s="19" customFormat="1" ht="16.5" customHeight="1">
      <c r="A43" s="29">
        <v>25</v>
      </c>
      <c r="B43" s="25">
        <v>43946</v>
      </c>
      <c r="C43" s="24">
        <v>26</v>
      </c>
      <c r="D43" s="6">
        <v>270519.45999999996</v>
      </c>
      <c r="E43" s="6">
        <v>1435.4</v>
      </c>
      <c r="F43" s="6">
        <v>398.41000000000008</v>
      </c>
      <c r="G43" s="6">
        <v>1036.99</v>
      </c>
      <c r="H43" s="6">
        <v>0</v>
      </c>
      <c r="I43" s="6">
        <v>270121.05</v>
      </c>
      <c r="J43" s="2"/>
      <c r="K43" s="2"/>
      <c r="L43" s="2"/>
      <c r="M43" s="2"/>
      <c r="N43" s="2"/>
      <c r="O43" s="2"/>
      <c r="P43" s="2"/>
      <c r="Q43" s="2"/>
      <c r="R43" s="2"/>
      <c r="U43" s="27"/>
      <c r="V43" s="27"/>
      <c r="W43" s="27"/>
      <c r="X43" s="27"/>
      <c r="Y43" s="27"/>
    </row>
    <row r="44" spans="1:25" s="19" customFormat="1" ht="16.5" customHeight="1">
      <c r="A44" s="29">
        <v>26</v>
      </c>
      <c r="B44" s="25">
        <v>43976</v>
      </c>
      <c r="C44" s="24">
        <v>27</v>
      </c>
      <c r="D44" s="6">
        <v>270121.05</v>
      </c>
      <c r="E44" s="6">
        <v>1435.4</v>
      </c>
      <c r="F44" s="6">
        <v>399.94000000000005</v>
      </c>
      <c r="G44" s="6">
        <v>1035.46</v>
      </c>
      <c r="H44" s="6">
        <v>0</v>
      </c>
      <c r="I44" s="6">
        <v>269721.11</v>
      </c>
      <c r="J44" s="2"/>
      <c r="K44" s="2"/>
      <c r="L44" s="2"/>
      <c r="M44" s="2"/>
      <c r="N44" s="2"/>
      <c r="O44" s="2"/>
      <c r="P44" s="2"/>
      <c r="Q44" s="2"/>
      <c r="R44" s="2"/>
      <c r="U44" s="27"/>
      <c r="V44" s="27"/>
      <c r="W44" s="27"/>
      <c r="X44" s="27"/>
      <c r="Y44" s="27"/>
    </row>
    <row r="45" spans="1:25" s="19" customFormat="1" ht="16.5" customHeight="1">
      <c r="A45" s="29">
        <v>27</v>
      </c>
      <c r="B45" s="25">
        <v>44007</v>
      </c>
      <c r="C45" s="24">
        <v>28</v>
      </c>
      <c r="D45" s="6">
        <v>269721.11</v>
      </c>
      <c r="E45" s="6">
        <v>1435.4</v>
      </c>
      <c r="F45" s="6">
        <v>401.47</v>
      </c>
      <c r="G45" s="6">
        <v>1033.93</v>
      </c>
      <c r="H45" s="6">
        <v>0</v>
      </c>
      <c r="I45" s="6">
        <v>269319.64</v>
      </c>
      <c r="J45" s="2"/>
      <c r="K45" s="2"/>
      <c r="L45" s="2"/>
      <c r="M45" s="2"/>
      <c r="N45" s="2"/>
      <c r="O45" s="2"/>
      <c r="P45" s="2"/>
      <c r="Q45" s="2"/>
      <c r="R45" s="2"/>
      <c r="U45" s="27"/>
      <c r="V45" s="27"/>
      <c r="W45" s="27"/>
      <c r="X45" s="27"/>
      <c r="Y45" s="27"/>
    </row>
    <row r="46" spans="1:25" s="19" customFormat="1" ht="16.5" customHeight="1">
      <c r="A46" s="29">
        <v>28</v>
      </c>
      <c r="B46" s="25">
        <v>44037</v>
      </c>
      <c r="C46" s="24">
        <v>29</v>
      </c>
      <c r="D46" s="6">
        <v>269319.64</v>
      </c>
      <c r="E46" s="6">
        <v>1435.4</v>
      </c>
      <c r="F46" s="6">
        <v>403.01</v>
      </c>
      <c r="G46" s="6">
        <v>1032.3900000000001</v>
      </c>
      <c r="H46" s="6">
        <v>0</v>
      </c>
      <c r="I46" s="6">
        <v>268916.63</v>
      </c>
      <c r="J46" s="2"/>
      <c r="K46" s="2"/>
      <c r="L46" s="2"/>
      <c r="M46" s="2"/>
      <c r="N46" s="2"/>
      <c r="O46" s="2"/>
      <c r="P46" s="2"/>
      <c r="Q46" s="2"/>
      <c r="R46" s="2"/>
      <c r="U46" s="27"/>
      <c r="V46" s="27"/>
      <c r="W46" s="27"/>
      <c r="X46" s="27"/>
      <c r="Y46" s="27"/>
    </row>
    <row r="47" spans="1:25" s="19" customFormat="1" ht="16.5" customHeight="1">
      <c r="A47" s="29">
        <v>29</v>
      </c>
      <c r="B47" s="25">
        <v>44068</v>
      </c>
      <c r="C47" s="24">
        <v>30</v>
      </c>
      <c r="D47" s="6">
        <v>268916.63</v>
      </c>
      <c r="E47" s="6">
        <v>1435.4</v>
      </c>
      <c r="F47" s="6">
        <v>404.55000000000018</v>
      </c>
      <c r="G47" s="6">
        <v>1030.8499999999999</v>
      </c>
      <c r="H47" s="6">
        <v>0</v>
      </c>
      <c r="I47" s="6">
        <v>268512.08</v>
      </c>
      <c r="J47" s="2"/>
      <c r="K47" s="2"/>
      <c r="L47" s="2"/>
      <c r="M47" s="2"/>
      <c r="N47" s="2"/>
      <c r="O47" s="2"/>
      <c r="P47" s="2"/>
      <c r="Q47" s="2"/>
      <c r="R47" s="2"/>
      <c r="U47" s="27"/>
      <c r="V47" s="27"/>
      <c r="W47" s="27"/>
      <c r="X47" s="27"/>
      <c r="Y47" s="27"/>
    </row>
    <row r="48" spans="1:25" s="19" customFormat="1" ht="16.5" customHeight="1">
      <c r="A48" s="29">
        <v>30</v>
      </c>
      <c r="B48" s="25">
        <v>44099</v>
      </c>
      <c r="C48" s="24">
        <v>31</v>
      </c>
      <c r="D48" s="6">
        <v>268512.08</v>
      </c>
      <c r="E48" s="6">
        <v>1435.4</v>
      </c>
      <c r="F48" s="6">
        <v>406.10000000000014</v>
      </c>
      <c r="G48" s="6">
        <v>1029.3</v>
      </c>
      <c r="H48" s="6">
        <v>0</v>
      </c>
      <c r="I48" s="6">
        <v>268105.98000000004</v>
      </c>
      <c r="J48" s="2"/>
      <c r="K48" s="2"/>
      <c r="L48" s="2"/>
      <c r="M48" s="2"/>
      <c r="N48" s="2"/>
      <c r="O48" s="2"/>
      <c r="P48" s="2"/>
      <c r="Q48" s="2"/>
      <c r="R48" s="2"/>
      <c r="U48" s="27"/>
      <c r="V48" s="27"/>
      <c r="W48" s="27"/>
      <c r="X48" s="27"/>
      <c r="Y48" s="27"/>
    </row>
    <row r="49" spans="1:37" s="19" customFormat="1" ht="16.5" customHeight="1">
      <c r="A49" s="29">
        <v>31</v>
      </c>
      <c r="B49" s="25">
        <v>44129</v>
      </c>
      <c r="C49" s="24">
        <v>32</v>
      </c>
      <c r="D49" s="6">
        <v>268105.98000000004</v>
      </c>
      <c r="E49" s="6">
        <v>1435.4</v>
      </c>
      <c r="F49" s="6">
        <v>407.66000000000008</v>
      </c>
      <c r="G49" s="6">
        <v>1027.74</v>
      </c>
      <c r="H49" s="6">
        <v>0</v>
      </c>
      <c r="I49" s="6">
        <v>267698.32000000007</v>
      </c>
      <c r="J49" s="2"/>
      <c r="K49" s="2"/>
      <c r="L49" s="2"/>
      <c r="M49" s="2"/>
      <c r="N49" s="2"/>
      <c r="O49" s="2"/>
      <c r="P49" s="2"/>
      <c r="Q49" s="2"/>
      <c r="R49" s="2"/>
      <c r="T49" s="2"/>
      <c r="U49" s="27"/>
      <c r="V49" s="27"/>
      <c r="W49" s="27"/>
      <c r="X49" s="27"/>
      <c r="Y49" s="27"/>
    </row>
    <row r="50" spans="1:37" ht="16.5" customHeight="1">
      <c r="A50" s="29">
        <v>32</v>
      </c>
      <c r="B50" s="25">
        <v>44160</v>
      </c>
      <c r="C50" s="24">
        <v>33</v>
      </c>
      <c r="D50" s="6">
        <v>267698.32000000007</v>
      </c>
      <c r="E50" s="6">
        <v>1435.4</v>
      </c>
      <c r="F50" s="6">
        <v>409.22</v>
      </c>
      <c r="G50" s="6">
        <v>1026.18</v>
      </c>
      <c r="H50" s="6">
        <v>0</v>
      </c>
      <c r="I50" s="6">
        <v>267289.10000000009</v>
      </c>
      <c r="J50" s="2"/>
      <c r="K50" s="2"/>
      <c r="L50" s="2"/>
      <c r="M50" s="2"/>
      <c r="N50" s="2"/>
      <c r="U50" s="27"/>
      <c r="V50" s="27"/>
      <c r="W50" s="27"/>
      <c r="X50" s="27"/>
      <c r="Y50" s="27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</row>
    <row r="51" spans="1:37" ht="16.5" customHeight="1">
      <c r="A51" s="29">
        <v>33</v>
      </c>
      <c r="B51" s="25">
        <v>44190</v>
      </c>
      <c r="C51" s="24">
        <v>34</v>
      </c>
      <c r="D51" s="6">
        <v>267289.10000000009</v>
      </c>
      <c r="E51" s="6">
        <v>1435.4</v>
      </c>
      <c r="F51" s="6">
        <v>410.79000000000019</v>
      </c>
      <c r="G51" s="6">
        <v>1024.6099999999999</v>
      </c>
      <c r="H51" s="6">
        <v>0</v>
      </c>
      <c r="I51" s="6">
        <v>266878.31000000011</v>
      </c>
      <c r="J51" s="2"/>
      <c r="K51" s="2"/>
      <c r="L51" s="2"/>
      <c r="M51" s="2"/>
      <c r="N51" s="2"/>
      <c r="U51" s="27"/>
      <c r="V51" s="27"/>
      <c r="W51" s="27"/>
      <c r="X51" s="27"/>
      <c r="Y51" s="27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</row>
    <row r="52" spans="1:37" ht="16.5" customHeight="1">
      <c r="A52" s="29">
        <v>34</v>
      </c>
      <c r="B52" s="25">
        <v>44221</v>
      </c>
      <c r="C52" s="24">
        <v>35</v>
      </c>
      <c r="D52" s="6">
        <v>266878.31000000011</v>
      </c>
      <c r="E52" s="6">
        <v>1435.4</v>
      </c>
      <c r="F52" s="6">
        <v>412.37000000000012</v>
      </c>
      <c r="G52" s="6">
        <v>1023.03</v>
      </c>
      <c r="H52" s="6">
        <v>0</v>
      </c>
      <c r="I52" s="6">
        <v>266465.94000000012</v>
      </c>
      <c r="J52" s="2"/>
      <c r="K52" s="2"/>
      <c r="L52" s="2"/>
      <c r="M52" s="2"/>
      <c r="N52" s="2"/>
      <c r="U52" s="27"/>
      <c r="V52" s="27"/>
      <c r="W52" s="27"/>
      <c r="X52" s="27"/>
      <c r="Y52" s="27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</row>
    <row r="53" spans="1:37" ht="16.5" customHeight="1">
      <c r="A53" s="29">
        <v>35</v>
      </c>
      <c r="B53" s="25">
        <v>44252</v>
      </c>
      <c r="C53" s="24">
        <v>36</v>
      </c>
      <c r="D53" s="6">
        <v>266465.94000000012</v>
      </c>
      <c r="E53" s="6">
        <v>1435.4</v>
      </c>
      <c r="F53" s="6">
        <v>413.95000000000005</v>
      </c>
      <c r="G53" s="6">
        <v>1021.45</v>
      </c>
      <c r="H53" s="6">
        <v>0</v>
      </c>
      <c r="I53" s="6">
        <v>266051.99000000011</v>
      </c>
      <c r="J53" s="2"/>
      <c r="K53" s="2"/>
      <c r="L53" s="2"/>
      <c r="M53" s="2"/>
      <c r="N53" s="2"/>
      <c r="U53" s="27"/>
      <c r="V53" s="27"/>
      <c r="W53" s="27"/>
      <c r="X53" s="27"/>
      <c r="Y53" s="27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</row>
    <row r="54" spans="1:37" ht="16.5" customHeight="1">
      <c r="A54" s="29">
        <v>36</v>
      </c>
      <c r="B54" s="25">
        <v>44280</v>
      </c>
      <c r="C54" s="24">
        <v>37</v>
      </c>
      <c r="D54" s="6">
        <v>266051.99000000011</v>
      </c>
      <c r="E54" s="6">
        <v>1435.4</v>
      </c>
      <c r="F54" s="6">
        <v>415.53000000000009</v>
      </c>
      <c r="G54" s="6">
        <v>1019.87</v>
      </c>
      <c r="H54" s="6">
        <v>0</v>
      </c>
      <c r="I54" s="6">
        <v>265636.46000000008</v>
      </c>
      <c r="J54" s="2"/>
      <c r="K54" s="2"/>
      <c r="L54" s="2"/>
      <c r="M54" s="2"/>
      <c r="N54" s="2"/>
      <c r="U54" s="27"/>
      <c r="V54" s="27"/>
      <c r="W54" s="27"/>
      <c r="X54" s="27"/>
      <c r="Y54" s="27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</row>
    <row r="55" spans="1:37" ht="16.5" customHeight="1">
      <c r="A55" s="29">
        <v>37</v>
      </c>
      <c r="B55" s="25">
        <v>44311</v>
      </c>
      <c r="C55" s="24">
        <v>38</v>
      </c>
      <c r="D55" s="6">
        <v>265636.46000000008</v>
      </c>
      <c r="E55" s="6">
        <v>1435.4</v>
      </c>
      <c r="F55" s="6">
        <v>417.13000000000011</v>
      </c>
      <c r="G55" s="6">
        <v>1018.27</v>
      </c>
      <c r="H55" s="6">
        <v>0</v>
      </c>
      <c r="I55" s="6">
        <v>265219.33000000007</v>
      </c>
      <c r="J55" s="2"/>
      <c r="K55" s="2"/>
      <c r="L55" s="2"/>
      <c r="M55" s="2"/>
      <c r="N55" s="2"/>
      <c r="U55" s="27"/>
      <c r="V55" s="27"/>
      <c r="W55" s="27"/>
      <c r="X55" s="27"/>
      <c r="Y55" s="27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</row>
    <row r="56" spans="1:37" ht="16.5" customHeight="1">
      <c r="A56" s="29">
        <v>38</v>
      </c>
      <c r="B56" s="25">
        <v>44341</v>
      </c>
      <c r="C56" s="24">
        <v>39</v>
      </c>
      <c r="D56" s="6">
        <v>265219.33000000007</v>
      </c>
      <c r="E56" s="6">
        <v>1435.4</v>
      </c>
      <c r="F56" s="6">
        <v>418.73000000000013</v>
      </c>
      <c r="G56" s="6">
        <v>1016.67</v>
      </c>
      <c r="H56" s="6">
        <v>0</v>
      </c>
      <c r="I56" s="6">
        <v>264800.60000000009</v>
      </c>
      <c r="J56" s="2"/>
      <c r="K56" s="2"/>
      <c r="L56" s="2"/>
      <c r="M56" s="2"/>
      <c r="N56" s="2"/>
      <c r="U56" s="27"/>
      <c r="V56" s="27"/>
      <c r="W56" s="27"/>
      <c r="X56" s="27"/>
      <c r="Y56" s="27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</row>
    <row r="57" spans="1:37" ht="16.5" customHeight="1">
      <c r="A57" s="5">
        <v>39</v>
      </c>
      <c r="B57" s="25">
        <v>44372</v>
      </c>
      <c r="C57" s="24">
        <v>40</v>
      </c>
      <c r="D57" s="6">
        <v>264800.60000000009</v>
      </c>
      <c r="E57" s="6">
        <v>1435.4</v>
      </c>
      <c r="F57" s="6">
        <v>420.33000000000004</v>
      </c>
      <c r="G57" s="6">
        <v>1015.07</v>
      </c>
      <c r="H57" s="6">
        <v>0</v>
      </c>
      <c r="I57" s="6">
        <v>264380.27000000008</v>
      </c>
      <c r="J57" s="2"/>
      <c r="K57" s="2"/>
      <c r="L57" s="2"/>
      <c r="M57" s="2"/>
      <c r="N57" s="2"/>
      <c r="U57" s="27"/>
      <c r="V57" s="27"/>
      <c r="W57" s="27"/>
      <c r="X57" s="27"/>
      <c r="Y57" s="27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</row>
    <row r="58" spans="1:37" ht="16.5" customHeight="1">
      <c r="A58" s="5">
        <v>40</v>
      </c>
      <c r="B58" s="25">
        <v>44402</v>
      </c>
      <c r="C58" s="24">
        <v>41</v>
      </c>
      <c r="D58" s="6">
        <v>264380.27000000008</v>
      </c>
      <c r="E58" s="6">
        <v>1435.4</v>
      </c>
      <c r="F58" s="6">
        <v>421.94000000000005</v>
      </c>
      <c r="G58" s="6">
        <v>1013.46</v>
      </c>
      <c r="H58" s="6">
        <v>0</v>
      </c>
      <c r="I58" s="6">
        <v>263958.33000000007</v>
      </c>
      <c r="J58" s="2"/>
      <c r="K58" s="2"/>
      <c r="L58" s="2"/>
      <c r="M58" s="2"/>
      <c r="N58" s="2"/>
      <c r="U58" s="27"/>
      <c r="V58" s="27"/>
      <c r="W58" s="27"/>
      <c r="X58" s="27"/>
      <c r="Y58" s="27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</row>
    <row r="59" spans="1:37" ht="16.5" customHeight="1">
      <c r="A59" s="5">
        <v>41</v>
      </c>
      <c r="B59" s="25">
        <v>44433</v>
      </c>
      <c r="C59" s="24">
        <v>42</v>
      </c>
      <c r="D59" s="6">
        <v>263958.33000000007</v>
      </c>
      <c r="E59" s="6">
        <v>1435.4</v>
      </c>
      <c r="F59" s="6">
        <v>423.56000000000006</v>
      </c>
      <c r="G59" s="6">
        <v>1011.84</v>
      </c>
      <c r="H59" s="6">
        <v>0</v>
      </c>
      <c r="I59" s="6">
        <v>263534.77000000008</v>
      </c>
      <c r="J59" s="2"/>
      <c r="K59" s="2"/>
      <c r="L59" s="2"/>
      <c r="M59" s="2"/>
      <c r="N59" s="2"/>
      <c r="U59" s="27"/>
      <c r="V59" s="27"/>
      <c r="W59" s="27"/>
      <c r="X59" s="27"/>
      <c r="Y59" s="27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</row>
    <row r="60" spans="1:37" ht="16.5" customHeight="1">
      <c r="A60" s="5">
        <v>42</v>
      </c>
      <c r="B60" s="25">
        <v>44464</v>
      </c>
      <c r="C60" s="24">
        <v>43</v>
      </c>
      <c r="D60" s="6">
        <v>263534.77000000008</v>
      </c>
      <c r="E60" s="6">
        <v>1435.4</v>
      </c>
      <c r="F60" s="6">
        <v>425.18000000000006</v>
      </c>
      <c r="G60" s="6">
        <v>1010.22</v>
      </c>
      <c r="H60" s="6">
        <v>0</v>
      </c>
      <c r="I60" s="6">
        <v>263109.59000000008</v>
      </c>
      <c r="J60" s="2"/>
      <c r="K60" s="2"/>
      <c r="L60" s="2"/>
      <c r="M60" s="2"/>
      <c r="N60" s="2"/>
      <c r="U60" s="27"/>
      <c r="V60" s="27"/>
      <c r="W60" s="27"/>
      <c r="X60" s="27"/>
      <c r="Y60" s="27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</row>
    <row r="61" spans="1:37" ht="16.5" customHeight="1">
      <c r="A61" s="5">
        <v>43</v>
      </c>
      <c r="B61" s="25">
        <v>44494</v>
      </c>
      <c r="C61" s="24">
        <v>44</v>
      </c>
      <c r="D61" s="6">
        <v>263109.59000000008</v>
      </c>
      <c r="E61" s="6">
        <v>1435.4</v>
      </c>
      <c r="F61" s="6">
        <v>426.81000000000006</v>
      </c>
      <c r="G61" s="6">
        <v>1008.59</v>
      </c>
      <c r="H61" s="6">
        <v>0</v>
      </c>
      <c r="I61" s="6">
        <v>262682.78000000009</v>
      </c>
      <c r="J61" s="2"/>
      <c r="K61" s="2"/>
      <c r="L61" s="2"/>
      <c r="M61" s="2"/>
      <c r="N61" s="2"/>
      <c r="U61" s="27"/>
      <c r="V61" s="27"/>
      <c r="W61" s="27"/>
      <c r="X61" s="27"/>
      <c r="Y61" s="27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</row>
    <row r="62" spans="1:37" ht="16.5" customHeight="1">
      <c r="A62" s="5">
        <v>44</v>
      </c>
      <c r="B62" s="25">
        <v>44525</v>
      </c>
      <c r="C62" s="24">
        <v>45</v>
      </c>
      <c r="D62" s="6">
        <v>262682.78000000009</v>
      </c>
      <c r="E62" s="6">
        <v>1435.4</v>
      </c>
      <c r="F62" s="6">
        <v>428.45000000000005</v>
      </c>
      <c r="G62" s="6">
        <v>1006.95</v>
      </c>
      <c r="H62" s="6">
        <v>0</v>
      </c>
      <c r="I62" s="6">
        <v>262254.33000000007</v>
      </c>
      <c r="J62" s="2"/>
      <c r="K62" s="2"/>
      <c r="L62" s="2"/>
      <c r="M62" s="2"/>
      <c r="N62" s="2"/>
      <c r="X62" s="27"/>
      <c r="Y62" s="27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</row>
    <row r="63" spans="1:37" ht="16.5" customHeight="1">
      <c r="A63" s="5">
        <v>45</v>
      </c>
      <c r="B63" s="25">
        <v>44555</v>
      </c>
      <c r="C63" s="24">
        <v>46</v>
      </c>
      <c r="D63" s="6">
        <v>262254.33000000007</v>
      </c>
      <c r="E63" s="6">
        <v>1435.4</v>
      </c>
      <c r="F63" s="6">
        <v>430.09000000000015</v>
      </c>
      <c r="G63" s="6">
        <v>1005.31</v>
      </c>
      <c r="H63" s="6">
        <v>0</v>
      </c>
      <c r="I63" s="6">
        <v>261824.24000000008</v>
      </c>
      <c r="J63" s="2"/>
      <c r="K63" s="2"/>
      <c r="L63" s="2"/>
      <c r="M63" s="2"/>
      <c r="N63" s="2"/>
    </row>
    <row r="64" spans="1:37" ht="16.5" customHeight="1">
      <c r="A64" s="5">
        <v>46</v>
      </c>
      <c r="B64" s="25">
        <v>44586</v>
      </c>
      <c r="C64" s="24">
        <v>47</v>
      </c>
      <c r="D64" s="6">
        <v>261824.24000000008</v>
      </c>
      <c r="E64" s="6">
        <v>1435.4</v>
      </c>
      <c r="F64" s="6">
        <v>431.74000000000012</v>
      </c>
      <c r="G64" s="6">
        <v>1003.66</v>
      </c>
      <c r="H64" s="6">
        <v>0</v>
      </c>
      <c r="I64" s="6">
        <v>261392.50000000009</v>
      </c>
      <c r="J64" s="2"/>
      <c r="K64" s="2"/>
      <c r="L64" s="2"/>
      <c r="M64" s="2"/>
      <c r="N64" s="2"/>
    </row>
    <row r="65" spans="1:14" ht="16.5" customHeight="1">
      <c r="A65" s="5">
        <v>47</v>
      </c>
      <c r="B65" s="25">
        <v>44617</v>
      </c>
      <c r="C65" s="24">
        <v>48</v>
      </c>
      <c r="D65" s="6">
        <v>261392.50000000009</v>
      </c>
      <c r="E65" s="6">
        <v>1435.4</v>
      </c>
      <c r="F65" s="6">
        <v>433.40000000000009</v>
      </c>
      <c r="G65" s="6">
        <v>1002</v>
      </c>
      <c r="H65" s="6">
        <v>0</v>
      </c>
      <c r="I65" s="6">
        <v>260959.10000000009</v>
      </c>
      <c r="J65" s="2"/>
      <c r="K65" s="2"/>
      <c r="L65" s="2"/>
      <c r="M65" s="2"/>
      <c r="N65" s="2"/>
    </row>
    <row r="66" spans="1:14" ht="16.5" customHeight="1">
      <c r="A66" s="5">
        <v>48</v>
      </c>
      <c r="B66" s="25">
        <v>44645</v>
      </c>
      <c r="C66" s="24">
        <v>49</v>
      </c>
      <c r="D66" s="6">
        <v>260959.10000000009</v>
      </c>
      <c r="E66" s="6">
        <v>1435.4</v>
      </c>
      <c r="F66" s="6">
        <v>435.06000000000006</v>
      </c>
      <c r="G66" s="6">
        <v>1000.34</v>
      </c>
      <c r="H66" s="6">
        <v>0</v>
      </c>
      <c r="I66" s="6">
        <v>260524.0400000001</v>
      </c>
      <c r="J66" s="2"/>
      <c r="K66" s="2"/>
      <c r="L66" s="2"/>
      <c r="M66" s="2"/>
      <c r="N66" s="2"/>
    </row>
    <row r="67" spans="1:14" ht="16.5" customHeight="1">
      <c r="A67" s="5">
        <v>49</v>
      </c>
      <c r="B67" s="25">
        <v>44676</v>
      </c>
      <c r="C67" s="24">
        <v>50</v>
      </c>
      <c r="D67" s="6">
        <v>260524.0400000001</v>
      </c>
      <c r="E67" s="6">
        <v>1435.4</v>
      </c>
      <c r="F67" s="6">
        <v>436.72000000000014</v>
      </c>
      <c r="G67" s="6">
        <v>998.68</v>
      </c>
      <c r="H67" s="6">
        <v>0</v>
      </c>
      <c r="I67" s="6">
        <v>260087.32000000009</v>
      </c>
      <c r="J67" s="2"/>
      <c r="K67" s="2"/>
      <c r="L67" s="2"/>
      <c r="M67" s="2"/>
      <c r="N67" s="2"/>
    </row>
    <row r="68" spans="1:14" ht="16.5" customHeight="1">
      <c r="A68" s="5">
        <v>50</v>
      </c>
      <c r="B68" s="25">
        <v>44706</v>
      </c>
      <c r="C68" s="24">
        <v>51</v>
      </c>
      <c r="D68" s="6">
        <v>260087.32000000009</v>
      </c>
      <c r="E68" s="6">
        <v>1435.4</v>
      </c>
      <c r="F68" s="6">
        <v>438.40000000000009</v>
      </c>
      <c r="G68" s="6">
        <v>997</v>
      </c>
      <c r="H68" s="6">
        <v>0</v>
      </c>
      <c r="I68" s="6">
        <v>259648.9200000001</v>
      </c>
      <c r="J68" s="2"/>
      <c r="K68" s="2"/>
      <c r="L68" s="2"/>
      <c r="M68" s="2"/>
      <c r="N68" s="2"/>
    </row>
    <row r="69" spans="1:14" ht="16.5" customHeight="1">
      <c r="A69" s="5">
        <v>51</v>
      </c>
      <c r="B69" s="25">
        <v>44737</v>
      </c>
      <c r="C69" s="24">
        <v>52</v>
      </c>
      <c r="D69" s="6">
        <v>259648.9200000001</v>
      </c>
      <c r="E69" s="6">
        <v>1435.4</v>
      </c>
      <c r="F69" s="6">
        <v>440.08000000000004</v>
      </c>
      <c r="G69" s="6">
        <v>995.32</v>
      </c>
      <c r="H69" s="6">
        <v>0</v>
      </c>
      <c r="I69" s="6">
        <v>259208.84000000011</v>
      </c>
      <c r="J69" s="2"/>
      <c r="K69" s="2"/>
      <c r="L69" s="2"/>
      <c r="M69" s="2"/>
      <c r="N69" s="2"/>
    </row>
    <row r="70" spans="1:14" ht="16.5" customHeight="1">
      <c r="A70" s="5">
        <v>52</v>
      </c>
      <c r="B70" s="25">
        <v>44767</v>
      </c>
      <c r="C70" s="24">
        <v>53</v>
      </c>
      <c r="D70" s="6">
        <v>259208.84000000011</v>
      </c>
      <c r="E70" s="6">
        <v>1435.4</v>
      </c>
      <c r="F70" s="6">
        <v>441.7700000000001</v>
      </c>
      <c r="G70" s="6">
        <v>993.63</v>
      </c>
      <c r="H70" s="6">
        <v>0</v>
      </c>
      <c r="I70" s="6">
        <v>258767.07000000012</v>
      </c>
      <c r="J70" s="2"/>
      <c r="K70" s="2"/>
      <c r="L70" s="2"/>
      <c r="M70" s="2"/>
      <c r="N70" s="2"/>
    </row>
    <row r="71" spans="1:14" ht="16.5" customHeight="1">
      <c r="A71" s="5">
        <v>53</v>
      </c>
      <c r="B71" s="25">
        <v>44798</v>
      </c>
      <c r="C71" s="24">
        <v>54</v>
      </c>
      <c r="D71" s="6">
        <v>258767.07000000012</v>
      </c>
      <c r="E71" s="6">
        <v>1435.4</v>
      </c>
      <c r="F71" s="6">
        <v>443.46000000000004</v>
      </c>
      <c r="G71" s="6">
        <v>991.94</v>
      </c>
      <c r="H71" s="6">
        <v>0</v>
      </c>
      <c r="I71" s="6">
        <v>258323.61000000013</v>
      </c>
      <c r="J71" s="2"/>
      <c r="K71" s="2"/>
      <c r="L71" s="2"/>
      <c r="M71" s="2"/>
      <c r="N71" s="2"/>
    </row>
    <row r="72" spans="1:14" ht="16.5" customHeight="1">
      <c r="A72" s="5">
        <v>54</v>
      </c>
      <c r="B72" s="25">
        <v>44829</v>
      </c>
      <c r="C72" s="24">
        <v>55</v>
      </c>
      <c r="D72" s="6">
        <v>258323.61000000013</v>
      </c>
      <c r="E72" s="6">
        <v>1435.4</v>
      </c>
      <c r="F72" s="6">
        <v>445.16000000000008</v>
      </c>
      <c r="G72" s="6">
        <v>990.24</v>
      </c>
      <c r="H72" s="6">
        <v>0</v>
      </c>
      <c r="I72" s="6">
        <v>257878.45000000013</v>
      </c>
      <c r="J72" s="2"/>
      <c r="K72" s="2"/>
      <c r="L72" s="2"/>
      <c r="M72" s="2"/>
      <c r="N72" s="2"/>
    </row>
    <row r="73" spans="1:14" ht="16.5" customHeight="1">
      <c r="A73" s="5">
        <v>55</v>
      </c>
      <c r="B73" s="25">
        <v>44859</v>
      </c>
      <c r="C73" s="24">
        <v>56</v>
      </c>
      <c r="D73" s="6">
        <v>257878.45000000013</v>
      </c>
      <c r="E73" s="6">
        <v>1435.4</v>
      </c>
      <c r="F73" s="6">
        <v>446.87000000000012</v>
      </c>
      <c r="G73" s="6">
        <v>988.53</v>
      </c>
      <c r="H73" s="6">
        <v>0</v>
      </c>
      <c r="I73" s="6">
        <v>257431.58000000013</v>
      </c>
      <c r="J73" s="2"/>
      <c r="K73" s="2"/>
      <c r="L73" s="2"/>
      <c r="M73" s="2"/>
      <c r="N73" s="2"/>
    </row>
    <row r="74" spans="1:14" ht="16.5" customHeight="1">
      <c r="A74" s="5">
        <v>56</v>
      </c>
      <c r="B74" s="25">
        <v>44890</v>
      </c>
      <c r="C74" s="24">
        <v>57</v>
      </c>
      <c r="D74" s="6">
        <v>257431.58000000013</v>
      </c>
      <c r="E74" s="6">
        <v>1435.4</v>
      </c>
      <c r="F74" s="6">
        <v>448.58000000000004</v>
      </c>
      <c r="G74" s="6">
        <v>986.82</v>
      </c>
      <c r="H74" s="6">
        <v>0</v>
      </c>
      <c r="I74" s="6">
        <v>256983.00000000015</v>
      </c>
      <c r="J74" s="2"/>
      <c r="K74" s="2"/>
      <c r="L74" s="2"/>
      <c r="M74" s="2"/>
      <c r="N74" s="2"/>
    </row>
    <row r="75" spans="1:14" ht="16.5" customHeight="1">
      <c r="A75" s="5">
        <v>57</v>
      </c>
      <c r="B75" s="25">
        <v>44920</v>
      </c>
      <c r="C75" s="24">
        <v>58</v>
      </c>
      <c r="D75" s="6">
        <v>256983.00000000015</v>
      </c>
      <c r="E75" s="6">
        <v>1435.4</v>
      </c>
      <c r="F75" s="6">
        <v>450.30000000000007</v>
      </c>
      <c r="G75" s="6">
        <v>985.1</v>
      </c>
      <c r="H75" s="6">
        <v>0</v>
      </c>
      <c r="I75" s="6">
        <v>256532.70000000016</v>
      </c>
      <c r="J75" s="2"/>
      <c r="K75" s="2"/>
      <c r="L75" s="2"/>
      <c r="M75" s="2"/>
      <c r="N75" s="2"/>
    </row>
    <row r="76" spans="1:14" ht="16.5" customHeight="1">
      <c r="A76" s="5">
        <v>58</v>
      </c>
      <c r="B76" s="25">
        <v>44951</v>
      </c>
      <c r="C76" s="24">
        <v>59</v>
      </c>
      <c r="D76" s="6">
        <v>256532.70000000016</v>
      </c>
      <c r="E76" s="6">
        <v>1435.4</v>
      </c>
      <c r="F76" s="6">
        <v>452.0200000000001</v>
      </c>
      <c r="G76" s="6">
        <v>983.38</v>
      </c>
      <c r="H76" s="6">
        <v>0</v>
      </c>
      <c r="I76" s="6">
        <v>256080.68000000017</v>
      </c>
      <c r="J76" s="2"/>
      <c r="K76" s="2"/>
      <c r="L76" s="2"/>
      <c r="M76" s="2"/>
      <c r="N76" s="2"/>
    </row>
    <row r="77" spans="1:14" ht="16.5" customHeight="1">
      <c r="A77" s="5">
        <v>59</v>
      </c>
      <c r="B77" s="25">
        <v>44982</v>
      </c>
      <c r="C77" s="24">
        <v>60</v>
      </c>
      <c r="D77" s="6">
        <v>256080.68000000017</v>
      </c>
      <c r="E77" s="6">
        <v>1435.4</v>
      </c>
      <c r="F77" s="6">
        <v>453.7600000000001</v>
      </c>
      <c r="G77" s="6">
        <v>981.64</v>
      </c>
      <c r="H77" s="6">
        <v>0</v>
      </c>
      <c r="I77" s="6">
        <v>255626.92000000016</v>
      </c>
      <c r="J77" s="2"/>
      <c r="K77" s="2"/>
      <c r="L77" s="2"/>
      <c r="M77" s="2"/>
      <c r="N77" s="2"/>
    </row>
    <row r="78" spans="1:14" ht="16.5" customHeight="1">
      <c r="A78" s="5">
        <v>60</v>
      </c>
      <c r="B78" s="25">
        <v>45010</v>
      </c>
      <c r="C78" s="24">
        <v>61</v>
      </c>
      <c r="D78" s="6">
        <v>255626.92000000016</v>
      </c>
      <c r="E78" s="6">
        <v>1435.4</v>
      </c>
      <c r="F78" s="6">
        <v>455.50000000000011</v>
      </c>
      <c r="G78" s="6">
        <v>979.9</v>
      </c>
      <c r="H78" s="6">
        <v>0</v>
      </c>
      <c r="I78" s="6">
        <v>255171.42000000016</v>
      </c>
      <c r="J78" s="2"/>
      <c r="K78" s="2"/>
      <c r="L78" s="2"/>
      <c r="M78" s="2"/>
      <c r="N78" s="2"/>
    </row>
    <row r="79" spans="1:14" ht="16.5" customHeight="1">
      <c r="A79" s="5">
        <v>61</v>
      </c>
      <c r="B79" s="25">
        <v>45041</v>
      </c>
      <c r="C79" s="24">
        <v>62</v>
      </c>
      <c r="D79" s="6">
        <v>255171.42000000016</v>
      </c>
      <c r="E79" s="6">
        <v>1435.4</v>
      </c>
      <c r="F79" s="6">
        <v>457.24000000000012</v>
      </c>
      <c r="G79" s="6">
        <v>978.16</v>
      </c>
      <c r="H79" s="6">
        <v>0</v>
      </c>
      <c r="I79" s="6">
        <v>254714.18000000017</v>
      </c>
      <c r="J79" s="2"/>
      <c r="K79" s="2"/>
      <c r="L79" s="2"/>
      <c r="M79" s="2"/>
      <c r="N79" s="2"/>
    </row>
    <row r="80" spans="1:14" ht="16.5" customHeight="1">
      <c r="A80" s="5">
        <v>62</v>
      </c>
      <c r="B80" s="25">
        <v>45071</v>
      </c>
      <c r="C80" s="24">
        <v>63</v>
      </c>
      <c r="D80" s="6">
        <v>254714.18000000017</v>
      </c>
      <c r="E80" s="6">
        <v>1435.4</v>
      </c>
      <c r="F80" s="6">
        <v>459.00000000000011</v>
      </c>
      <c r="G80" s="6">
        <v>976.4</v>
      </c>
      <c r="H80" s="6">
        <v>0</v>
      </c>
      <c r="I80" s="6">
        <v>254255.18000000017</v>
      </c>
      <c r="J80" s="2"/>
      <c r="K80" s="2"/>
      <c r="L80" s="2"/>
      <c r="M80" s="2"/>
      <c r="N80" s="2"/>
    </row>
    <row r="81" spans="1:14" ht="16.5" customHeight="1">
      <c r="A81" s="5">
        <v>63</v>
      </c>
      <c r="B81" s="25">
        <v>45102</v>
      </c>
      <c r="C81" s="24">
        <v>64</v>
      </c>
      <c r="D81" s="6">
        <v>254255.18000000017</v>
      </c>
      <c r="E81" s="6">
        <v>1435.4</v>
      </c>
      <c r="F81" s="6">
        <v>460.7600000000001</v>
      </c>
      <c r="G81" s="6">
        <v>974.64</v>
      </c>
      <c r="H81" s="6">
        <v>0</v>
      </c>
      <c r="I81" s="6">
        <v>253794.42000000016</v>
      </c>
      <c r="J81" s="2"/>
      <c r="K81" s="2"/>
      <c r="L81" s="2"/>
      <c r="M81" s="2"/>
      <c r="N81" s="2"/>
    </row>
    <row r="82" spans="1:14" ht="16.5" customHeight="1">
      <c r="A82" s="5">
        <v>64</v>
      </c>
      <c r="B82" s="25">
        <v>45132</v>
      </c>
      <c r="C82" s="24">
        <v>65</v>
      </c>
      <c r="D82" s="6">
        <v>253794.42000000016</v>
      </c>
      <c r="E82" s="6">
        <v>1435.4</v>
      </c>
      <c r="F82" s="6">
        <v>462.5200000000001</v>
      </c>
      <c r="G82" s="6">
        <v>972.88</v>
      </c>
      <c r="H82" s="6">
        <v>0</v>
      </c>
      <c r="I82" s="6">
        <v>253331.90000000017</v>
      </c>
      <c r="J82" s="2"/>
      <c r="K82" s="2"/>
      <c r="L82" s="2"/>
      <c r="M82" s="2"/>
      <c r="N82" s="2"/>
    </row>
    <row r="83" spans="1:14" ht="16.5" customHeight="1">
      <c r="A83" s="5">
        <v>65</v>
      </c>
      <c r="B83" s="25">
        <v>45163</v>
      </c>
      <c r="C83" s="24">
        <v>66</v>
      </c>
      <c r="D83" s="6">
        <v>253331.90000000017</v>
      </c>
      <c r="E83" s="6">
        <v>1435.4</v>
      </c>
      <c r="F83" s="6">
        <v>464.29000000000008</v>
      </c>
      <c r="G83" s="6">
        <v>971.11</v>
      </c>
      <c r="H83" s="6">
        <v>0</v>
      </c>
      <c r="I83" s="6">
        <v>252867.61000000016</v>
      </c>
      <c r="J83" s="2"/>
      <c r="K83" s="2"/>
      <c r="L83" s="2"/>
      <c r="M83" s="2"/>
      <c r="N83" s="2"/>
    </row>
    <row r="84" spans="1:14" ht="16.5" customHeight="1">
      <c r="A84" s="5">
        <v>66</v>
      </c>
      <c r="B84" s="25">
        <v>45194</v>
      </c>
      <c r="C84" s="24">
        <v>67</v>
      </c>
      <c r="D84" s="6">
        <v>252867.61000000016</v>
      </c>
      <c r="E84" s="6">
        <v>1435.4</v>
      </c>
      <c r="F84" s="6">
        <v>466.07000000000005</v>
      </c>
      <c r="G84" s="6">
        <v>969.33</v>
      </c>
      <c r="H84" s="6">
        <v>0</v>
      </c>
      <c r="I84" s="6">
        <v>252401.54000000015</v>
      </c>
      <c r="J84" s="2"/>
      <c r="K84" s="2"/>
      <c r="L84" s="2"/>
      <c r="M84" s="2"/>
      <c r="N84" s="2"/>
    </row>
    <row r="85" spans="1:14" ht="16.5" customHeight="1">
      <c r="A85" s="5">
        <v>67</v>
      </c>
      <c r="B85" s="25">
        <v>45224</v>
      </c>
      <c r="C85" s="24">
        <v>68</v>
      </c>
      <c r="D85" s="6">
        <v>252401.54000000015</v>
      </c>
      <c r="E85" s="6">
        <v>1435.4</v>
      </c>
      <c r="F85" s="6">
        <v>467.86000000000013</v>
      </c>
      <c r="G85" s="6">
        <v>967.54</v>
      </c>
      <c r="H85" s="6">
        <v>0</v>
      </c>
      <c r="I85" s="6">
        <v>251933.68000000017</v>
      </c>
      <c r="J85" s="2"/>
      <c r="K85" s="2"/>
      <c r="L85" s="2"/>
      <c r="M85" s="2"/>
      <c r="N85" s="2"/>
    </row>
    <row r="86" spans="1:14" ht="16.5" customHeight="1">
      <c r="A86" s="5">
        <v>68</v>
      </c>
      <c r="B86" s="25">
        <v>45255</v>
      </c>
      <c r="C86" s="24">
        <v>69</v>
      </c>
      <c r="D86" s="6">
        <v>251933.68000000017</v>
      </c>
      <c r="E86" s="6">
        <v>1435.4</v>
      </c>
      <c r="F86" s="6">
        <v>469.65000000000009</v>
      </c>
      <c r="G86" s="6">
        <v>965.75</v>
      </c>
      <c r="H86" s="6">
        <v>0</v>
      </c>
      <c r="I86" s="6">
        <v>251464.03000000017</v>
      </c>
      <c r="J86" s="2"/>
      <c r="K86" s="2"/>
      <c r="L86" s="2"/>
      <c r="M86" s="2"/>
      <c r="N86" s="2"/>
    </row>
    <row r="87" spans="1:14" ht="16.5" customHeight="1">
      <c r="A87" s="5">
        <v>69</v>
      </c>
      <c r="B87" s="25">
        <v>45285</v>
      </c>
      <c r="C87" s="24">
        <v>70</v>
      </c>
      <c r="D87" s="6">
        <v>251464.03000000017</v>
      </c>
      <c r="E87" s="6">
        <v>1435.4</v>
      </c>
      <c r="F87" s="6">
        <v>471.45000000000005</v>
      </c>
      <c r="G87" s="6">
        <v>963.95</v>
      </c>
      <c r="H87" s="6">
        <v>0</v>
      </c>
      <c r="I87" s="6">
        <v>250992.58000000016</v>
      </c>
      <c r="J87" s="2"/>
      <c r="K87" s="2"/>
      <c r="L87" s="2"/>
      <c r="M87" s="2"/>
      <c r="N87" s="2"/>
    </row>
    <row r="88" spans="1:14" ht="16.5" customHeight="1">
      <c r="A88" s="5">
        <v>70</v>
      </c>
      <c r="B88" s="25">
        <v>45316</v>
      </c>
      <c r="C88" s="24">
        <v>71</v>
      </c>
      <c r="D88" s="6">
        <v>250992.58000000016</v>
      </c>
      <c r="E88" s="6">
        <v>1435.4</v>
      </c>
      <c r="F88" s="6">
        <v>473.2600000000001</v>
      </c>
      <c r="G88" s="6">
        <v>962.14</v>
      </c>
      <c r="H88" s="6">
        <v>0</v>
      </c>
      <c r="I88" s="6">
        <v>250519.32000000015</v>
      </c>
      <c r="J88" s="2"/>
      <c r="K88" s="2"/>
      <c r="L88" s="2"/>
      <c r="M88" s="2"/>
      <c r="N88" s="2"/>
    </row>
    <row r="89" spans="1:14" ht="16.5" customHeight="1">
      <c r="A89" s="5">
        <v>71</v>
      </c>
      <c r="B89" s="25">
        <v>45347</v>
      </c>
      <c r="C89" s="24">
        <v>72</v>
      </c>
      <c r="D89" s="6">
        <v>250519.32000000015</v>
      </c>
      <c r="E89" s="6">
        <v>1435.4</v>
      </c>
      <c r="F89" s="6">
        <v>475.08000000000004</v>
      </c>
      <c r="G89" s="6">
        <v>960.32</v>
      </c>
      <c r="H89" s="6">
        <v>0</v>
      </c>
      <c r="I89" s="6">
        <v>250044.24000000017</v>
      </c>
      <c r="J89" s="2"/>
      <c r="K89" s="2"/>
      <c r="L89" s="2"/>
      <c r="M89" s="2"/>
      <c r="N89" s="2"/>
    </row>
    <row r="90" spans="1:14" ht="16.5" customHeight="1">
      <c r="A90" s="5">
        <v>72</v>
      </c>
      <c r="B90" s="25">
        <v>45376</v>
      </c>
      <c r="C90" s="24">
        <v>73</v>
      </c>
      <c r="D90" s="6">
        <v>250044.24000000017</v>
      </c>
      <c r="E90" s="6">
        <v>1435.4</v>
      </c>
      <c r="F90" s="6">
        <v>476.90000000000009</v>
      </c>
      <c r="G90" s="6">
        <v>958.5</v>
      </c>
      <c r="H90" s="6">
        <v>0</v>
      </c>
      <c r="I90" s="6">
        <v>249567.34000000017</v>
      </c>
      <c r="J90" s="2"/>
      <c r="K90" s="2"/>
      <c r="L90" s="2"/>
      <c r="M90" s="2"/>
      <c r="N90" s="2"/>
    </row>
    <row r="91" spans="1:14" ht="16.5" customHeight="1">
      <c r="A91" s="5">
        <v>73</v>
      </c>
      <c r="B91" s="25">
        <v>45407</v>
      </c>
      <c r="C91" s="24">
        <v>74</v>
      </c>
      <c r="D91" s="6">
        <v>249567.34000000017</v>
      </c>
      <c r="E91" s="6">
        <v>1435.4</v>
      </c>
      <c r="F91" s="6">
        <v>478.73000000000013</v>
      </c>
      <c r="G91" s="6">
        <v>956.67</v>
      </c>
      <c r="H91" s="6">
        <v>0</v>
      </c>
      <c r="I91" s="6">
        <v>249088.61000000016</v>
      </c>
      <c r="J91" s="2"/>
      <c r="K91" s="2"/>
      <c r="L91" s="2"/>
      <c r="M91" s="2"/>
      <c r="N91" s="2"/>
    </row>
    <row r="92" spans="1:14" ht="16.5" customHeight="1">
      <c r="A92" s="5">
        <v>74</v>
      </c>
      <c r="B92" s="25">
        <v>45437</v>
      </c>
      <c r="C92" s="24">
        <v>75</v>
      </c>
      <c r="D92" s="6">
        <v>249088.61000000016</v>
      </c>
      <c r="E92" s="6">
        <v>1435.4</v>
      </c>
      <c r="F92" s="6">
        <v>480.56000000000006</v>
      </c>
      <c r="G92" s="6">
        <v>954.84</v>
      </c>
      <c r="H92" s="6">
        <v>0</v>
      </c>
      <c r="I92" s="6">
        <v>248608.05000000016</v>
      </c>
      <c r="J92" s="2"/>
      <c r="K92" s="2"/>
      <c r="L92" s="2"/>
      <c r="M92" s="2"/>
      <c r="N92" s="2"/>
    </row>
    <row r="93" spans="1:14" ht="16.5" customHeight="1">
      <c r="A93" s="5">
        <v>75</v>
      </c>
      <c r="B93" s="25">
        <v>45468</v>
      </c>
      <c r="C93" s="24">
        <v>76</v>
      </c>
      <c r="D93" s="6">
        <v>248608.05000000016</v>
      </c>
      <c r="E93" s="6">
        <v>1435.4</v>
      </c>
      <c r="F93" s="6">
        <v>482.40000000000009</v>
      </c>
      <c r="G93" s="6">
        <v>953</v>
      </c>
      <c r="H93" s="6">
        <v>0</v>
      </c>
      <c r="I93" s="6">
        <v>248125.65000000017</v>
      </c>
      <c r="J93" s="2"/>
      <c r="K93" s="2"/>
      <c r="L93" s="2"/>
      <c r="M93" s="2"/>
      <c r="N93" s="2"/>
    </row>
    <row r="94" spans="1:14" ht="16.5" customHeight="1">
      <c r="A94" s="5">
        <v>76</v>
      </c>
      <c r="B94" s="25">
        <v>45498</v>
      </c>
      <c r="C94" s="24">
        <v>77</v>
      </c>
      <c r="D94" s="6">
        <v>248125.65000000017</v>
      </c>
      <c r="E94" s="6">
        <v>1435.4</v>
      </c>
      <c r="F94" s="6">
        <v>484.25000000000011</v>
      </c>
      <c r="G94" s="6">
        <v>951.15</v>
      </c>
      <c r="H94" s="6">
        <v>0</v>
      </c>
      <c r="I94" s="6">
        <v>247641.40000000017</v>
      </c>
      <c r="J94" s="2"/>
      <c r="K94" s="2"/>
      <c r="L94" s="2"/>
      <c r="M94" s="2"/>
      <c r="N94" s="2"/>
    </row>
    <row r="95" spans="1:14" ht="16.5" customHeight="1">
      <c r="A95" s="5">
        <v>77</v>
      </c>
      <c r="B95" s="25">
        <v>45529</v>
      </c>
      <c r="C95" s="24">
        <v>78</v>
      </c>
      <c r="D95" s="6">
        <v>247641.40000000017</v>
      </c>
      <c r="E95" s="6">
        <v>1435.4</v>
      </c>
      <c r="F95" s="6">
        <v>486.11000000000013</v>
      </c>
      <c r="G95" s="6">
        <v>949.29</v>
      </c>
      <c r="H95" s="6">
        <v>0</v>
      </c>
      <c r="I95" s="6">
        <v>247155.29000000018</v>
      </c>
      <c r="J95" s="2"/>
      <c r="K95" s="2"/>
      <c r="L95" s="2"/>
      <c r="M95" s="2"/>
      <c r="N95" s="2"/>
    </row>
    <row r="96" spans="1:14" ht="16.5" customHeight="1">
      <c r="A96" s="5">
        <v>78</v>
      </c>
      <c r="B96" s="25">
        <v>45560</v>
      </c>
      <c r="C96" s="24">
        <v>79</v>
      </c>
      <c r="D96" s="6">
        <v>247155.29000000018</v>
      </c>
      <c r="E96" s="6">
        <v>1435.4</v>
      </c>
      <c r="F96" s="6">
        <v>487.97000000000014</v>
      </c>
      <c r="G96" s="6">
        <v>947.43</v>
      </c>
      <c r="H96" s="6">
        <v>0</v>
      </c>
      <c r="I96" s="6">
        <v>246667.32000000018</v>
      </c>
      <c r="J96" s="2"/>
      <c r="K96" s="2"/>
      <c r="L96" s="2"/>
      <c r="M96" s="2"/>
      <c r="N96" s="2"/>
    </row>
    <row r="97" spans="1:14" ht="16.5" customHeight="1">
      <c r="A97" s="5">
        <v>79</v>
      </c>
      <c r="B97" s="25">
        <v>45590</v>
      </c>
      <c r="C97" s="24">
        <v>80</v>
      </c>
      <c r="D97" s="6">
        <v>246667.32000000018</v>
      </c>
      <c r="E97" s="6">
        <v>1435.4</v>
      </c>
      <c r="F97" s="6">
        <v>489.84000000000015</v>
      </c>
      <c r="G97" s="6">
        <v>945.56</v>
      </c>
      <c r="H97" s="6">
        <v>0</v>
      </c>
      <c r="I97" s="6">
        <v>246177.48000000019</v>
      </c>
      <c r="J97" s="2"/>
      <c r="K97" s="2"/>
      <c r="L97" s="2"/>
      <c r="M97" s="2"/>
      <c r="N97" s="2"/>
    </row>
    <row r="98" spans="1:14" ht="16.5" customHeight="1">
      <c r="A98" s="5">
        <v>80</v>
      </c>
      <c r="B98" s="25">
        <v>45621</v>
      </c>
      <c r="C98" s="24">
        <v>81</v>
      </c>
      <c r="D98" s="6">
        <v>246177.48000000019</v>
      </c>
      <c r="E98" s="6">
        <v>1435.4</v>
      </c>
      <c r="F98" s="6">
        <v>491.72000000000014</v>
      </c>
      <c r="G98" s="6">
        <v>943.68</v>
      </c>
      <c r="H98" s="6">
        <v>0</v>
      </c>
      <c r="I98" s="6">
        <v>245685.76000000018</v>
      </c>
      <c r="J98" s="2"/>
      <c r="K98" s="2"/>
      <c r="L98" s="2"/>
      <c r="M98" s="2"/>
      <c r="N98" s="2"/>
    </row>
    <row r="99" spans="1:14" ht="16.5" customHeight="1">
      <c r="A99" s="5">
        <v>81</v>
      </c>
      <c r="B99" s="25">
        <v>45651</v>
      </c>
      <c r="C99" s="24">
        <v>82</v>
      </c>
      <c r="D99" s="6">
        <v>245685.76000000018</v>
      </c>
      <c r="E99" s="6">
        <v>1435.4</v>
      </c>
      <c r="F99" s="6">
        <v>493.60000000000014</v>
      </c>
      <c r="G99" s="6">
        <v>941.8</v>
      </c>
      <c r="H99" s="6">
        <v>0</v>
      </c>
      <c r="I99" s="6">
        <v>245192.16000000018</v>
      </c>
      <c r="J99" s="2"/>
      <c r="K99" s="2"/>
      <c r="L99" s="2"/>
      <c r="M99" s="2"/>
      <c r="N99" s="2"/>
    </row>
    <row r="100" spans="1:14" ht="16.5" customHeight="1">
      <c r="A100" s="5">
        <v>82</v>
      </c>
      <c r="B100" s="25">
        <v>45682</v>
      </c>
      <c r="C100" s="24">
        <v>83</v>
      </c>
      <c r="D100" s="6">
        <v>245192.16000000018</v>
      </c>
      <c r="E100" s="6">
        <v>1435.4</v>
      </c>
      <c r="F100" s="6">
        <v>495.50000000000011</v>
      </c>
      <c r="G100" s="6">
        <v>939.9</v>
      </c>
      <c r="H100" s="6">
        <v>0</v>
      </c>
      <c r="I100" s="6">
        <v>244696.66000000018</v>
      </c>
      <c r="J100" s="2"/>
      <c r="K100" s="2"/>
      <c r="L100" s="2"/>
      <c r="M100" s="2"/>
      <c r="N100" s="2"/>
    </row>
    <row r="101" spans="1:14" ht="16.5" customHeight="1">
      <c r="A101" s="5">
        <v>83</v>
      </c>
      <c r="B101" s="25">
        <v>45713</v>
      </c>
      <c r="C101" s="24">
        <v>84</v>
      </c>
      <c r="D101" s="6">
        <v>244696.66000000018</v>
      </c>
      <c r="E101" s="6">
        <v>1435.4</v>
      </c>
      <c r="F101" s="6">
        <v>497.40000000000009</v>
      </c>
      <c r="G101" s="6">
        <v>938</v>
      </c>
      <c r="H101" s="6">
        <v>0</v>
      </c>
      <c r="I101" s="6">
        <v>244199.26000000018</v>
      </c>
      <c r="J101" s="2"/>
      <c r="K101" s="2"/>
      <c r="L101" s="2"/>
      <c r="M101" s="2"/>
      <c r="N101" s="2"/>
    </row>
    <row r="102" spans="1:14" ht="16.5" customHeight="1">
      <c r="A102" s="5">
        <v>84</v>
      </c>
      <c r="B102" s="25">
        <v>45741</v>
      </c>
      <c r="C102" s="24">
        <v>85</v>
      </c>
      <c r="D102" s="6">
        <v>244199.26000000018</v>
      </c>
      <c r="E102" s="6">
        <v>1435.4</v>
      </c>
      <c r="F102" s="6">
        <v>499.30000000000007</v>
      </c>
      <c r="G102" s="6">
        <v>936.1</v>
      </c>
      <c r="H102" s="6">
        <v>0</v>
      </c>
      <c r="I102" s="6">
        <v>243699.9600000002</v>
      </c>
      <c r="J102" s="2"/>
      <c r="K102" s="2"/>
      <c r="L102" s="2"/>
      <c r="M102" s="2"/>
      <c r="N102" s="2"/>
    </row>
    <row r="103" spans="1:14" ht="16.5" customHeight="1">
      <c r="A103" s="5">
        <v>85</v>
      </c>
      <c r="B103" s="25">
        <v>45772</v>
      </c>
      <c r="C103" s="24">
        <v>86</v>
      </c>
      <c r="D103" s="6">
        <v>243699.9600000002</v>
      </c>
      <c r="E103" s="6">
        <v>1435.4</v>
      </c>
      <c r="F103" s="6">
        <v>501.22000000000014</v>
      </c>
      <c r="G103" s="6">
        <v>934.18</v>
      </c>
      <c r="H103" s="6">
        <v>0</v>
      </c>
      <c r="I103" s="6">
        <v>243198.74000000019</v>
      </c>
      <c r="J103" s="2"/>
      <c r="K103" s="2"/>
      <c r="L103" s="2"/>
      <c r="M103" s="2"/>
      <c r="N103" s="2"/>
    </row>
    <row r="104" spans="1:14" ht="16.5" customHeight="1">
      <c r="A104" s="5">
        <v>86</v>
      </c>
      <c r="B104" s="25">
        <v>45802</v>
      </c>
      <c r="C104" s="24">
        <v>87</v>
      </c>
      <c r="D104" s="6">
        <v>243198.74000000019</v>
      </c>
      <c r="E104" s="6">
        <v>1435.4</v>
      </c>
      <c r="F104" s="6">
        <v>503.1400000000001</v>
      </c>
      <c r="G104" s="6">
        <v>932.26</v>
      </c>
      <c r="H104" s="6">
        <v>0</v>
      </c>
      <c r="I104" s="6">
        <v>242695.60000000018</v>
      </c>
      <c r="J104" s="2"/>
      <c r="K104" s="2"/>
      <c r="L104" s="2"/>
      <c r="M104" s="2"/>
      <c r="N104" s="2"/>
    </row>
    <row r="105" spans="1:14" ht="16.5" customHeight="1">
      <c r="A105" s="5">
        <v>87</v>
      </c>
      <c r="B105" s="25">
        <v>45833</v>
      </c>
      <c r="C105" s="24">
        <v>88</v>
      </c>
      <c r="D105" s="6">
        <v>242695.60000000018</v>
      </c>
      <c r="E105" s="6">
        <v>1435.4</v>
      </c>
      <c r="F105" s="6">
        <v>505.07000000000005</v>
      </c>
      <c r="G105" s="6">
        <v>930.33</v>
      </c>
      <c r="H105" s="6">
        <v>0</v>
      </c>
      <c r="I105" s="6">
        <v>242190.53000000017</v>
      </c>
      <c r="J105" s="2"/>
      <c r="K105" s="2"/>
      <c r="L105" s="2"/>
      <c r="M105" s="2"/>
      <c r="N105" s="2"/>
    </row>
    <row r="106" spans="1:14" ht="16.5" customHeight="1">
      <c r="A106" s="5">
        <v>88</v>
      </c>
      <c r="B106" s="25">
        <v>45863</v>
      </c>
      <c r="C106" s="24">
        <v>89</v>
      </c>
      <c r="D106" s="6">
        <v>242190.53000000017</v>
      </c>
      <c r="E106" s="6">
        <v>1435.4</v>
      </c>
      <c r="F106" s="6">
        <v>507.00000000000011</v>
      </c>
      <c r="G106" s="6">
        <v>928.4</v>
      </c>
      <c r="H106" s="6">
        <v>0</v>
      </c>
      <c r="I106" s="6">
        <v>241683.53000000017</v>
      </c>
      <c r="J106" s="2"/>
      <c r="K106" s="2"/>
      <c r="L106" s="2"/>
      <c r="M106" s="2"/>
      <c r="N106" s="2"/>
    </row>
    <row r="107" spans="1:14" ht="16.5" customHeight="1">
      <c r="A107" s="5">
        <v>89</v>
      </c>
      <c r="B107" s="25">
        <v>45894</v>
      </c>
      <c r="C107" s="24">
        <v>90</v>
      </c>
      <c r="D107" s="6">
        <v>241683.53000000017</v>
      </c>
      <c r="E107" s="6">
        <v>1435.4</v>
      </c>
      <c r="F107" s="6">
        <v>508.95000000000005</v>
      </c>
      <c r="G107" s="6">
        <v>926.45</v>
      </c>
      <c r="H107" s="6">
        <v>0</v>
      </c>
      <c r="I107" s="6">
        <v>241174.58000000016</v>
      </c>
      <c r="J107" s="2"/>
      <c r="K107" s="2"/>
      <c r="L107" s="2"/>
      <c r="M107" s="2"/>
      <c r="N107" s="2"/>
    </row>
    <row r="108" spans="1:14" ht="16.5" customHeight="1">
      <c r="A108" s="5">
        <v>90</v>
      </c>
      <c r="B108" s="25">
        <v>45925</v>
      </c>
      <c r="C108" s="24">
        <v>91</v>
      </c>
      <c r="D108" s="6">
        <v>241174.58000000016</v>
      </c>
      <c r="E108" s="6">
        <v>1435.4</v>
      </c>
      <c r="F108" s="6">
        <v>510.90000000000009</v>
      </c>
      <c r="G108" s="6">
        <v>924.5</v>
      </c>
      <c r="H108" s="6">
        <v>0</v>
      </c>
      <c r="I108" s="6">
        <v>240663.68000000017</v>
      </c>
      <c r="J108" s="2"/>
      <c r="K108" s="2"/>
      <c r="L108" s="2"/>
      <c r="M108" s="2"/>
      <c r="N108" s="2"/>
    </row>
    <row r="109" spans="1:14" ht="16.5" customHeight="1">
      <c r="A109" s="5">
        <v>91</v>
      </c>
      <c r="B109" s="25">
        <v>45955</v>
      </c>
      <c r="C109" s="24">
        <v>92</v>
      </c>
      <c r="D109" s="6">
        <v>240663.68000000017</v>
      </c>
      <c r="E109" s="6">
        <v>1435.4</v>
      </c>
      <c r="F109" s="6">
        <v>512.86000000000013</v>
      </c>
      <c r="G109" s="6">
        <v>922.54</v>
      </c>
      <c r="H109" s="6">
        <v>0</v>
      </c>
      <c r="I109" s="6">
        <v>240150.82000000018</v>
      </c>
      <c r="J109" s="2"/>
      <c r="K109" s="2"/>
      <c r="L109" s="2"/>
      <c r="M109" s="2"/>
      <c r="N109" s="2"/>
    </row>
    <row r="110" spans="1:14" ht="16.5" customHeight="1">
      <c r="A110" s="5">
        <v>92</v>
      </c>
      <c r="B110" s="25">
        <v>45986</v>
      </c>
      <c r="C110" s="24">
        <v>93</v>
      </c>
      <c r="D110" s="6">
        <v>240150.82000000018</v>
      </c>
      <c r="E110" s="6">
        <v>1435.4</v>
      </c>
      <c r="F110" s="6">
        <v>514.82000000000005</v>
      </c>
      <c r="G110" s="6">
        <v>920.58</v>
      </c>
      <c r="H110" s="6">
        <v>0</v>
      </c>
      <c r="I110" s="6">
        <v>239636.00000000017</v>
      </c>
      <c r="J110" s="2"/>
      <c r="K110" s="2"/>
      <c r="L110" s="2"/>
      <c r="M110" s="2"/>
      <c r="N110" s="2"/>
    </row>
    <row r="111" spans="1:14" ht="16.5" customHeight="1">
      <c r="A111" s="5">
        <v>93</v>
      </c>
      <c r="B111" s="25">
        <v>46016</v>
      </c>
      <c r="C111" s="24">
        <v>94</v>
      </c>
      <c r="D111" s="6">
        <v>239636.00000000017</v>
      </c>
      <c r="E111" s="6">
        <v>1435.4</v>
      </c>
      <c r="F111" s="6">
        <v>516.80000000000007</v>
      </c>
      <c r="G111" s="6">
        <v>918.6</v>
      </c>
      <c r="H111" s="6">
        <v>0</v>
      </c>
      <c r="I111" s="6">
        <v>239119.20000000019</v>
      </c>
      <c r="J111" s="2"/>
      <c r="K111" s="2"/>
      <c r="L111" s="2"/>
      <c r="M111" s="2"/>
      <c r="N111" s="2"/>
    </row>
    <row r="112" spans="1:14" ht="16.5" customHeight="1">
      <c r="A112" s="5">
        <v>94</v>
      </c>
      <c r="B112" s="25">
        <v>46047</v>
      </c>
      <c r="C112" s="24">
        <v>95</v>
      </c>
      <c r="D112" s="6">
        <v>239119.20000000019</v>
      </c>
      <c r="E112" s="6">
        <v>1435.4</v>
      </c>
      <c r="F112" s="6">
        <v>518.78000000000009</v>
      </c>
      <c r="G112" s="6">
        <v>916.62</v>
      </c>
      <c r="H112" s="6">
        <v>0</v>
      </c>
      <c r="I112" s="6">
        <v>238600.42000000019</v>
      </c>
      <c r="J112" s="2"/>
      <c r="K112" s="2"/>
      <c r="L112" s="2"/>
      <c r="M112" s="2"/>
      <c r="N112" s="2"/>
    </row>
    <row r="113" spans="1:14" ht="16.5" customHeight="1">
      <c r="A113" s="5">
        <v>95</v>
      </c>
      <c r="B113" s="25">
        <v>46078</v>
      </c>
      <c r="C113" s="24">
        <v>96</v>
      </c>
      <c r="D113" s="6">
        <v>238600.42000000019</v>
      </c>
      <c r="E113" s="6">
        <v>1435.4</v>
      </c>
      <c r="F113" s="6">
        <v>520.7700000000001</v>
      </c>
      <c r="G113" s="6">
        <v>914.63</v>
      </c>
      <c r="H113" s="6">
        <v>0</v>
      </c>
      <c r="I113" s="6">
        <v>238079.6500000002</v>
      </c>
      <c r="J113" s="2"/>
      <c r="K113" s="2"/>
      <c r="L113" s="2"/>
      <c r="M113" s="2"/>
      <c r="N113" s="2"/>
    </row>
    <row r="114" spans="1:14" ht="16.5" customHeight="1">
      <c r="A114" s="5">
        <v>96</v>
      </c>
      <c r="B114" s="25">
        <v>46106</v>
      </c>
      <c r="C114" s="24">
        <v>97</v>
      </c>
      <c r="D114" s="6">
        <v>238079.6500000002</v>
      </c>
      <c r="E114" s="6">
        <v>1435.4</v>
      </c>
      <c r="F114" s="6">
        <v>522.7600000000001</v>
      </c>
      <c r="G114" s="6">
        <v>912.64</v>
      </c>
      <c r="H114" s="6">
        <v>0</v>
      </c>
      <c r="I114" s="6">
        <v>237556.89000000019</v>
      </c>
      <c r="J114" s="2"/>
      <c r="K114" s="2"/>
      <c r="L114" s="2"/>
      <c r="M114" s="2"/>
      <c r="N114" s="2"/>
    </row>
    <row r="115" spans="1:14" ht="16.5" customHeight="1">
      <c r="A115" s="5">
        <v>97</v>
      </c>
      <c r="B115" s="25">
        <v>46137</v>
      </c>
      <c r="C115" s="24">
        <v>98</v>
      </c>
      <c r="D115" s="6">
        <v>237556.89000000019</v>
      </c>
      <c r="E115" s="6">
        <v>1435.4</v>
      </c>
      <c r="F115" s="6">
        <v>524.7700000000001</v>
      </c>
      <c r="G115" s="6">
        <v>910.63</v>
      </c>
      <c r="H115" s="6">
        <v>0</v>
      </c>
      <c r="I115" s="6">
        <v>237032.1200000002</v>
      </c>
      <c r="J115" s="2"/>
      <c r="K115" s="2"/>
      <c r="L115" s="2"/>
      <c r="M115" s="2"/>
      <c r="N115" s="2"/>
    </row>
    <row r="116" spans="1:14" ht="16.5" customHeight="1">
      <c r="A116" s="5">
        <v>98</v>
      </c>
      <c r="B116" s="25">
        <v>46167</v>
      </c>
      <c r="C116" s="24">
        <v>99</v>
      </c>
      <c r="D116" s="6">
        <v>237032.1200000002</v>
      </c>
      <c r="E116" s="6">
        <v>1435.4</v>
      </c>
      <c r="F116" s="6">
        <v>526.78000000000009</v>
      </c>
      <c r="G116" s="6">
        <v>908.62</v>
      </c>
      <c r="H116" s="6">
        <v>0</v>
      </c>
      <c r="I116" s="6">
        <v>236505.3400000002</v>
      </c>
      <c r="J116" s="2"/>
      <c r="K116" s="2"/>
      <c r="L116" s="2"/>
      <c r="M116" s="2"/>
      <c r="N116" s="2"/>
    </row>
    <row r="117" spans="1:14" ht="16.5" customHeight="1">
      <c r="A117" s="5">
        <v>99</v>
      </c>
      <c r="B117" s="25">
        <v>46198</v>
      </c>
      <c r="C117" s="24">
        <v>100</v>
      </c>
      <c r="D117" s="6">
        <v>236505.3400000002</v>
      </c>
      <c r="E117" s="6">
        <v>1435.4</v>
      </c>
      <c r="F117" s="6">
        <v>528.80000000000007</v>
      </c>
      <c r="G117" s="6">
        <v>906.6</v>
      </c>
      <c r="H117" s="6">
        <v>0</v>
      </c>
      <c r="I117" s="6">
        <v>235976.54000000021</v>
      </c>
      <c r="J117" s="2"/>
      <c r="K117" s="2"/>
      <c r="L117" s="2"/>
      <c r="M117" s="2"/>
      <c r="N117" s="2"/>
    </row>
    <row r="118" spans="1:14" ht="16.5" customHeight="1">
      <c r="A118" s="5">
        <v>100</v>
      </c>
      <c r="B118" s="25">
        <v>46228</v>
      </c>
      <c r="C118" s="24">
        <v>101</v>
      </c>
      <c r="D118" s="6">
        <v>235976.54000000021</v>
      </c>
      <c r="E118" s="6">
        <v>1435.4</v>
      </c>
      <c r="F118" s="6">
        <v>530.82000000000005</v>
      </c>
      <c r="G118" s="6">
        <v>904.58</v>
      </c>
      <c r="H118" s="6">
        <v>0</v>
      </c>
      <c r="I118" s="6">
        <v>235445.7200000002</v>
      </c>
      <c r="J118" s="2"/>
      <c r="K118" s="2"/>
      <c r="L118" s="2"/>
      <c r="M118" s="2"/>
      <c r="N118" s="2"/>
    </row>
    <row r="119" spans="1:14" ht="16.5" customHeight="1">
      <c r="A119" s="5">
        <v>101</v>
      </c>
      <c r="B119" s="25">
        <v>46259</v>
      </c>
      <c r="C119" s="24">
        <v>102</v>
      </c>
      <c r="D119" s="6">
        <v>235445.7200000002</v>
      </c>
      <c r="E119" s="6">
        <v>1435.4</v>
      </c>
      <c r="F119" s="6">
        <v>532.86000000000013</v>
      </c>
      <c r="G119" s="6">
        <v>902.54</v>
      </c>
      <c r="H119" s="6">
        <v>0</v>
      </c>
      <c r="I119" s="6">
        <v>234912.86000000022</v>
      </c>
      <c r="J119" s="2"/>
      <c r="K119" s="2"/>
      <c r="L119" s="2"/>
      <c r="M119" s="2"/>
      <c r="N119" s="2"/>
    </row>
    <row r="120" spans="1:14" ht="16.5" customHeight="1">
      <c r="A120" s="5">
        <v>102</v>
      </c>
      <c r="B120" s="25">
        <v>46290</v>
      </c>
      <c r="C120" s="24">
        <v>103</v>
      </c>
      <c r="D120" s="6">
        <v>234912.86000000022</v>
      </c>
      <c r="E120" s="6">
        <v>1435.4</v>
      </c>
      <c r="F120" s="6">
        <v>534.90000000000009</v>
      </c>
      <c r="G120" s="6">
        <v>900.5</v>
      </c>
      <c r="H120" s="6">
        <v>0</v>
      </c>
      <c r="I120" s="6">
        <v>234377.96000000022</v>
      </c>
      <c r="J120" s="2"/>
      <c r="K120" s="2"/>
      <c r="L120" s="2"/>
      <c r="M120" s="2"/>
      <c r="N120" s="2"/>
    </row>
    <row r="121" spans="1:14" ht="16.5" customHeight="1">
      <c r="A121" s="5">
        <v>103</v>
      </c>
      <c r="B121" s="25">
        <v>46320</v>
      </c>
      <c r="C121" s="24">
        <v>104</v>
      </c>
      <c r="D121" s="6">
        <v>234377.96000000022</v>
      </c>
      <c r="E121" s="6">
        <v>1435.4</v>
      </c>
      <c r="F121" s="6">
        <v>536.95000000000005</v>
      </c>
      <c r="G121" s="6">
        <v>898.45</v>
      </c>
      <c r="H121" s="6">
        <v>0</v>
      </c>
      <c r="I121" s="6">
        <v>233841.01000000021</v>
      </c>
      <c r="J121" s="2"/>
      <c r="K121" s="2"/>
      <c r="L121" s="2"/>
      <c r="M121" s="2"/>
      <c r="N121" s="2"/>
    </row>
    <row r="122" spans="1:14" ht="16.5" customHeight="1">
      <c r="A122" s="5">
        <v>104</v>
      </c>
      <c r="B122" s="25">
        <v>46351</v>
      </c>
      <c r="C122" s="24">
        <v>105</v>
      </c>
      <c r="D122" s="6">
        <v>233841.01000000021</v>
      </c>
      <c r="E122" s="6">
        <v>1435.4</v>
      </c>
      <c r="F122" s="6">
        <v>539.0100000000001</v>
      </c>
      <c r="G122" s="6">
        <v>896.39</v>
      </c>
      <c r="H122" s="6">
        <v>0</v>
      </c>
      <c r="I122" s="6">
        <v>233302.0000000002</v>
      </c>
      <c r="J122" s="2"/>
      <c r="K122" s="2"/>
      <c r="L122" s="2"/>
      <c r="M122" s="2"/>
      <c r="N122" s="2"/>
    </row>
    <row r="123" spans="1:14" ht="16.5" customHeight="1">
      <c r="A123" s="5">
        <v>105</v>
      </c>
      <c r="B123" s="25">
        <v>46381</v>
      </c>
      <c r="C123" s="24">
        <v>106</v>
      </c>
      <c r="D123" s="6">
        <v>233302.0000000002</v>
      </c>
      <c r="E123" s="6">
        <v>1435.4</v>
      </c>
      <c r="F123" s="6">
        <v>541.08000000000004</v>
      </c>
      <c r="G123" s="6">
        <v>894.32</v>
      </c>
      <c r="H123" s="6">
        <v>0</v>
      </c>
      <c r="I123" s="6">
        <v>232760.92000000022</v>
      </c>
      <c r="J123" s="2"/>
      <c r="K123" s="2"/>
      <c r="L123" s="2"/>
      <c r="M123" s="2"/>
      <c r="N123" s="2"/>
    </row>
    <row r="124" spans="1:14" ht="16.5" customHeight="1">
      <c r="A124" s="5">
        <v>106</v>
      </c>
      <c r="B124" s="25">
        <v>46412</v>
      </c>
      <c r="C124" s="24">
        <v>107</v>
      </c>
      <c r="D124" s="6">
        <v>232760.92000000022</v>
      </c>
      <c r="E124" s="6">
        <v>1435.4</v>
      </c>
      <c r="F124" s="6">
        <v>543.15000000000009</v>
      </c>
      <c r="G124" s="6">
        <v>892.25</v>
      </c>
      <c r="H124" s="6">
        <v>0</v>
      </c>
      <c r="I124" s="6">
        <v>232217.77000000022</v>
      </c>
      <c r="J124" s="2"/>
      <c r="K124" s="2"/>
      <c r="L124" s="2"/>
      <c r="M124" s="2"/>
      <c r="N124" s="2"/>
    </row>
    <row r="125" spans="1:14" ht="16.5" customHeight="1">
      <c r="A125" s="5">
        <v>107</v>
      </c>
      <c r="B125" s="25">
        <v>46443</v>
      </c>
      <c r="C125" s="24">
        <v>108</v>
      </c>
      <c r="D125" s="6">
        <v>232217.77000000022</v>
      </c>
      <c r="E125" s="6">
        <v>1435.4</v>
      </c>
      <c r="F125" s="6">
        <v>545.23000000000013</v>
      </c>
      <c r="G125" s="6">
        <v>890.17</v>
      </c>
      <c r="H125" s="6">
        <v>0</v>
      </c>
      <c r="I125" s="6">
        <v>231672.54000000021</v>
      </c>
      <c r="J125" s="2"/>
      <c r="K125" s="2"/>
      <c r="L125" s="2"/>
      <c r="M125" s="2"/>
      <c r="N125" s="2"/>
    </row>
    <row r="126" spans="1:14" ht="16.5" customHeight="1">
      <c r="A126" s="5">
        <v>108</v>
      </c>
      <c r="B126" s="25">
        <v>46471</v>
      </c>
      <c r="C126" s="24">
        <v>109</v>
      </c>
      <c r="D126" s="6">
        <v>231672.54000000021</v>
      </c>
      <c r="E126" s="6">
        <v>1435.4</v>
      </c>
      <c r="F126" s="6">
        <v>547.32000000000005</v>
      </c>
      <c r="G126" s="6">
        <v>888.08</v>
      </c>
      <c r="H126" s="6">
        <v>0</v>
      </c>
      <c r="I126" s="6">
        <v>231125.2200000002</v>
      </c>
      <c r="J126" s="2"/>
      <c r="K126" s="2"/>
      <c r="L126" s="2"/>
      <c r="M126" s="2"/>
      <c r="N126" s="2"/>
    </row>
    <row r="127" spans="1:14" ht="16.5" customHeight="1">
      <c r="A127" s="5">
        <v>109</v>
      </c>
      <c r="B127" s="25">
        <v>46502</v>
      </c>
      <c r="C127" s="24">
        <v>110</v>
      </c>
      <c r="D127" s="6">
        <v>231125.2200000002</v>
      </c>
      <c r="E127" s="6">
        <v>1435.4</v>
      </c>
      <c r="F127" s="6">
        <v>549.42000000000007</v>
      </c>
      <c r="G127" s="6">
        <v>885.98</v>
      </c>
      <c r="H127" s="6">
        <v>0</v>
      </c>
      <c r="I127" s="6">
        <v>230575.80000000019</v>
      </c>
      <c r="J127" s="2"/>
      <c r="K127" s="2"/>
      <c r="L127" s="2"/>
      <c r="M127" s="2"/>
      <c r="N127" s="2"/>
    </row>
    <row r="128" spans="1:14" ht="16.5" customHeight="1">
      <c r="A128" s="5">
        <v>110</v>
      </c>
      <c r="B128" s="25">
        <v>46532</v>
      </c>
      <c r="C128" s="24">
        <v>111</v>
      </c>
      <c r="D128" s="6">
        <v>230575.80000000019</v>
      </c>
      <c r="E128" s="6">
        <v>1435.4</v>
      </c>
      <c r="F128" s="6">
        <v>551.53000000000009</v>
      </c>
      <c r="G128" s="6">
        <v>883.87</v>
      </c>
      <c r="H128" s="6">
        <v>0</v>
      </c>
      <c r="I128" s="6">
        <v>230024.27000000019</v>
      </c>
      <c r="J128" s="2"/>
      <c r="K128" s="2"/>
      <c r="L128" s="2"/>
      <c r="M128" s="2"/>
      <c r="N128" s="2"/>
    </row>
    <row r="129" spans="1:15" ht="16.5" customHeight="1">
      <c r="A129" s="5">
        <v>111</v>
      </c>
      <c r="B129" s="25">
        <v>46563</v>
      </c>
      <c r="C129" s="24">
        <v>112</v>
      </c>
      <c r="D129" s="6">
        <v>230024.27000000019</v>
      </c>
      <c r="E129" s="6">
        <v>1435.4</v>
      </c>
      <c r="F129" s="6">
        <v>553.6400000000001</v>
      </c>
      <c r="G129" s="6">
        <v>881.76</v>
      </c>
      <c r="H129" s="6">
        <v>0</v>
      </c>
      <c r="I129" s="6">
        <v>229470.63000000018</v>
      </c>
      <c r="K129" s="2"/>
      <c r="L129" s="34"/>
      <c r="M129" s="15"/>
      <c r="O129" s="9"/>
    </row>
    <row r="130" spans="1:15" ht="16.5" customHeight="1">
      <c r="A130" s="5">
        <v>112</v>
      </c>
      <c r="B130" s="25">
        <v>46593</v>
      </c>
      <c r="C130" s="24">
        <v>113</v>
      </c>
      <c r="D130" s="6">
        <v>229470.63000000018</v>
      </c>
      <c r="E130" s="6">
        <v>1435.4</v>
      </c>
      <c r="F130" s="6">
        <v>555.7600000000001</v>
      </c>
      <c r="G130" s="6">
        <v>879.64</v>
      </c>
      <c r="H130" s="6">
        <v>0</v>
      </c>
      <c r="I130" s="6">
        <v>228914.87000000017</v>
      </c>
      <c r="K130" s="2"/>
      <c r="L130" s="34"/>
      <c r="M130" s="15"/>
      <c r="O130" s="9"/>
    </row>
    <row r="131" spans="1:15" ht="16.5" customHeight="1">
      <c r="A131" s="5">
        <v>113</v>
      </c>
      <c r="B131" s="25">
        <v>46624</v>
      </c>
      <c r="C131" s="24">
        <v>114</v>
      </c>
      <c r="D131" s="6">
        <v>228914.87000000017</v>
      </c>
      <c r="E131" s="6">
        <v>1435.4</v>
      </c>
      <c r="F131" s="6">
        <v>557.8900000000001</v>
      </c>
      <c r="G131" s="6">
        <v>877.51</v>
      </c>
      <c r="H131" s="6">
        <v>0</v>
      </c>
      <c r="I131" s="6">
        <v>228356.98000000016</v>
      </c>
      <c r="K131" s="2"/>
      <c r="L131" s="34"/>
      <c r="M131" s="15"/>
      <c r="O131" s="9"/>
    </row>
    <row r="132" spans="1:15" ht="16.5" customHeight="1">
      <c r="A132" s="5">
        <v>114</v>
      </c>
      <c r="B132" s="25">
        <v>46655</v>
      </c>
      <c r="C132" s="24">
        <v>115</v>
      </c>
      <c r="D132" s="6">
        <v>228356.98000000016</v>
      </c>
      <c r="E132" s="6">
        <v>1435.4</v>
      </c>
      <c r="F132" s="6">
        <v>560.03000000000009</v>
      </c>
      <c r="G132" s="6">
        <v>875.37</v>
      </c>
      <c r="H132" s="6">
        <v>0</v>
      </c>
      <c r="I132" s="6">
        <v>227796.95000000016</v>
      </c>
      <c r="K132" s="2"/>
      <c r="L132" s="34"/>
      <c r="M132" s="15"/>
      <c r="O132" s="9"/>
    </row>
    <row r="133" spans="1:15" ht="16.5" customHeight="1">
      <c r="A133" s="5">
        <v>115</v>
      </c>
      <c r="B133" s="25">
        <v>46685</v>
      </c>
      <c r="C133" s="24">
        <v>116</v>
      </c>
      <c r="D133" s="6">
        <v>227796.95000000016</v>
      </c>
      <c r="E133" s="6">
        <v>1435.4</v>
      </c>
      <c r="F133" s="6">
        <v>562.18000000000006</v>
      </c>
      <c r="G133" s="6">
        <v>873.22</v>
      </c>
      <c r="H133" s="6">
        <v>0</v>
      </c>
      <c r="I133" s="6">
        <v>227234.77000000016</v>
      </c>
      <c r="K133" s="2"/>
      <c r="L133" s="34"/>
      <c r="O133" s="9"/>
    </row>
    <row r="134" spans="1:15" ht="16.5" customHeight="1">
      <c r="A134" s="5">
        <v>116</v>
      </c>
      <c r="B134" s="25">
        <v>46716</v>
      </c>
      <c r="C134" s="24">
        <v>117</v>
      </c>
      <c r="D134" s="6">
        <v>227234.77000000016</v>
      </c>
      <c r="E134" s="6">
        <v>1435.4</v>
      </c>
      <c r="F134" s="6">
        <v>564.33000000000004</v>
      </c>
      <c r="G134" s="6">
        <v>871.07</v>
      </c>
      <c r="H134" s="6">
        <v>0</v>
      </c>
      <c r="I134" s="6">
        <v>226670.44000000018</v>
      </c>
      <c r="K134" s="2"/>
      <c r="L134" s="34"/>
      <c r="O134" s="9"/>
    </row>
    <row r="135" spans="1:15" ht="16.5" customHeight="1">
      <c r="A135" s="5">
        <v>117</v>
      </c>
      <c r="B135" s="25">
        <v>46746</v>
      </c>
      <c r="C135" s="24">
        <v>118</v>
      </c>
      <c r="D135" s="6">
        <v>226670.44000000018</v>
      </c>
      <c r="E135" s="6">
        <v>1435.4</v>
      </c>
      <c r="F135" s="6">
        <v>566.50000000000011</v>
      </c>
      <c r="G135" s="6">
        <v>868.9</v>
      </c>
      <c r="H135" s="6">
        <v>0</v>
      </c>
      <c r="I135" s="6">
        <v>226103.94000000018</v>
      </c>
      <c r="K135" s="2"/>
      <c r="L135" s="34"/>
      <c r="O135" s="9"/>
    </row>
    <row r="136" spans="1:15" ht="16.5" customHeight="1">
      <c r="A136" s="5">
        <v>118</v>
      </c>
      <c r="B136" s="25">
        <v>46777</v>
      </c>
      <c r="C136" s="24">
        <v>119</v>
      </c>
      <c r="D136" s="6">
        <v>226103.94000000018</v>
      </c>
      <c r="E136" s="6">
        <v>1435.4</v>
      </c>
      <c r="F136" s="6">
        <v>568.67000000000007</v>
      </c>
      <c r="G136" s="6">
        <v>866.73</v>
      </c>
      <c r="H136" s="6">
        <v>0</v>
      </c>
      <c r="I136" s="6">
        <v>225535.27000000016</v>
      </c>
      <c r="K136" s="2"/>
      <c r="L136" s="34"/>
      <c r="O136" s="9"/>
    </row>
    <row r="137" spans="1:15" ht="16.5" customHeight="1">
      <c r="A137" s="5">
        <v>119</v>
      </c>
      <c r="B137" s="25">
        <v>46808</v>
      </c>
      <c r="C137" s="24">
        <v>120</v>
      </c>
      <c r="D137" s="6">
        <v>225535.27000000016</v>
      </c>
      <c r="E137" s="6">
        <v>1435.4</v>
      </c>
      <c r="F137" s="6">
        <v>570.85000000000014</v>
      </c>
      <c r="G137" s="6">
        <v>864.55</v>
      </c>
      <c r="H137" s="6">
        <v>0</v>
      </c>
      <c r="I137" s="6">
        <v>224964.42000000016</v>
      </c>
      <c r="K137" s="2"/>
      <c r="L137" s="34"/>
      <c r="O137" s="9"/>
    </row>
    <row r="138" spans="1:15" ht="16.5" customHeight="1">
      <c r="A138" s="5">
        <v>120</v>
      </c>
      <c r="B138" s="25">
        <v>46837</v>
      </c>
      <c r="C138" s="24">
        <v>121</v>
      </c>
      <c r="D138" s="6">
        <v>224964.42000000016</v>
      </c>
      <c r="E138" s="6">
        <v>1435.4</v>
      </c>
      <c r="F138" s="6">
        <v>573.04000000000008</v>
      </c>
      <c r="G138" s="6">
        <v>862.36</v>
      </c>
      <c r="H138" s="6">
        <v>0</v>
      </c>
      <c r="I138" s="6">
        <v>224391.38000000015</v>
      </c>
      <c r="K138" s="2"/>
      <c r="L138" s="34"/>
      <c r="O138" s="9"/>
    </row>
    <row r="139" spans="1:15" ht="16.5" customHeight="1">
      <c r="A139" s="5">
        <v>121</v>
      </c>
      <c r="B139" s="25">
        <v>46868</v>
      </c>
      <c r="C139" s="24">
        <v>122</v>
      </c>
      <c r="D139" s="6">
        <v>224391.38000000015</v>
      </c>
      <c r="E139" s="6">
        <v>1435.4</v>
      </c>
      <c r="F139" s="6">
        <v>575.23000000000013</v>
      </c>
      <c r="G139" s="6">
        <v>860.17</v>
      </c>
      <c r="H139" s="6">
        <v>0</v>
      </c>
      <c r="I139" s="6">
        <v>223816.15000000014</v>
      </c>
      <c r="K139" s="2"/>
      <c r="L139" s="34"/>
      <c r="O139" s="9"/>
    </row>
    <row r="140" spans="1:15" ht="16.5" customHeight="1">
      <c r="A140" s="5">
        <v>122</v>
      </c>
      <c r="B140" s="25">
        <v>46898</v>
      </c>
      <c r="C140" s="24">
        <v>123</v>
      </c>
      <c r="D140" s="6">
        <v>223816.15000000014</v>
      </c>
      <c r="E140" s="6">
        <v>1435.4</v>
      </c>
      <c r="F140" s="6">
        <v>577.44000000000005</v>
      </c>
      <c r="G140" s="6">
        <v>857.96</v>
      </c>
      <c r="H140" s="6">
        <v>0</v>
      </c>
      <c r="I140" s="6">
        <v>223238.71000000014</v>
      </c>
      <c r="K140" s="2"/>
      <c r="L140" s="34"/>
      <c r="O140" s="9"/>
    </row>
    <row r="141" spans="1:15" ht="16.5" customHeight="1">
      <c r="A141" s="5">
        <v>123</v>
      </c>
      <c r="B141" s="25">
        <v>46929</v>
      </c>
      <c r="C141" s="24">
        <v>124</v>
      </c>
      <c r="D141" s="6">
        <v>223238.71000000014</v>
      </c>
      <c r="E141" s="6">
        <v>1435.4</v>
      </c>
      <c r="F141" s="6">
        <v>579.65000000000009</v>
      </c>
      <c r="G141" s="6">
        <v>855.75</v>
      </c>
      <c r="H141" s="6">
        <v>0</v>
      </c>
      <c r="I141" s="6">
        <v>222659.06000000014</v>
      </c>
      <c r="K141" s="2"/>
      <c r="L141" s="34"/>
      <c r="O141" s="9"/>
    </row>
    <row r="142" spans="1:15" ht="16.5" customHeight="1">
      <c r="A142" s="5">
        <v>124</v>
      </c>
      <c r="B142" s="25">
        <v>46959</v>
      </c>
      <c r="C142" s="24">
        <v>125</v>
      </c>
      <c r="D142" s="6">
        <v>222659.06000000014</v>
      </c>
      <c r="E142" s="6">
        <v>1435.4</v>
      </c>
      <c r="F142" s="6">
        <v>581.87000000000012</v>
      </c>
      <c r="G142" s="6">
        <v>853.53</v>
      </c>
      <c r="H142" s="6">
        <v>0</v>
      </c>
      <c r="I142" s="6">
        <v>222077.19000000015</v>
      </c>
      <c r="K142" s="2"/>
      <c r="L142" s="34"/>
      <c r="O142" s="9"/>
    </row>
    <row r="143" spans="1:15" ht="16.5" customHeight="1">
      <c r="A143" s="5">
        <v>125</v>
      </c>
      <c r="B143" s="25">
        <v>46990</v>
      </c>
      <c r="C143" s="24">
        <v>126</v>
      </c>
      <c r="D143" s="6">
        <v>222077.19000000015</v>
      </c>
      <c r="E143" s="6">
        <v>1435.4</v>
      </c>
      <c r="F143" s="6">
        <v>584.10000000000014</v>
      </c>
      <c r="G143" s="6">
        <v>851.3</v>
      </c>
      <c r="H143" s="6">
        <v>0</v>
      </c>
      <c r="I143" s="6">
        <v>221493.09000000014</v>
      </c>
      <c r="K143" s="2"/>
      <c r="L143" s="34"/>
      <c r="O143" s="9"/>
    </row>
    <row r="144" spans="1:15" ht="16.5" customHeight="1">
      <c r="A144" s="5">
        <v>126</v>
      </c>
      <c r="B144" s="25">
        <v>47021</v>
      </c>
      <c r="C144" s="24">
        <v>127</v>
      </c>
      <c r="D144" s="6">
        <v>221493.09000000014</v>
      </c>
      <c r="E144" s="6">
        <v>1435.4</v>
      </c>
      <c r="F144" s="6">
        <v>586.34000000000015</v>
      </c>
      <c r="G144" s="6">
        <v>849.06</v>
      </c>
      <c r="H144" s="6">
        <v>0</v>
      </c>
      <c r="I144" s="6">
        <v>220906.75000000015</v>
      </c>
      <c r="K144" s="2"/>
      <c r="L144" s="34"/>
      <c r="O144" s="9"/>
    </row>
    <row r="145" spans="1:15" ht="16.5" customHeight="1">
      <c r="A145" s="5">
        <v>127</v>
      </c>
      <c r="B145" s="25">
        <v>47051</v>
      </c>
      <c r="C145" s="24">
        <v>128</v>
      </c>
      <c r="D145" s="6">
        <v>220906.75000000015</v>
      </c>
      <c r="E145" s="6">
        <v>1435.4</v>
      </c>
      <c r="F145" s="6">
        <v>588.59000000000015</v>
      </c>
      <c r="G145" s="6">
        <v>846.81</v>
      </c>
      <c r="H145" s="6">
        <v>0</v>
      </c>
      <c r="I145" s="6">
        <v>220318.16000000015</v>
      </c>
      <c r="K145" s="2"/>
      <c r="L145" s="34"/>
      <c r="O145" s="9"/>
    </row>
    <row r="146" spans="1:15" ht="16.5" customHeight="1">
      <c r="A146" s="5">
        <v>128</v>
      </c>
      <c r="B146" s="25">
        <v>47082</v>
      </c>
      <c r="C146" s="24">
        <v>129</v>
      </c>
      <c r="D146" s="6">
        <v>220318.16000000015</v>
      </c>
      <c r="E146" s="6">
        <v>1435.4</v>
      </c>
      <c r="F146" s="6">
        <v>590.85000000000014</v>
      </c>
      <c r="G146" s="6">
        <v>844.55</v>
      </c>
      <c r="H146" s="6">
        <v>0</v>
      </c>
      <c r="I146" s="6">
        <v>219727.31000000014</v>
      </c>
      <c r="K146" s="2"/>
      <c r="L146" s="34"/>
      <c r="O146" s="9"/>
    </row>
    <row r="147" spans="1:15" ht="16.5" customHeight="1">
      <c r="A147" s="5">
        <v>129</v>
      </c>
      <c r="B147" s="25">
        <v>47112</v>
      </c>
      <c r="C147" s="24">
        <v>130</v>
      </c>
      <c r="D147" s="6">
        <v>219727.31000000014</v>
      </c>
      <c r="E147" s="6">
        <v>1435.4</v>
      </c>
      <c r="F147" s="6">
        <v>593.11000000000013</v>
      </c>
      <c r="G147" s="6">
        <v>842.29</v>
      </c>
      <c r="H147" s="6">
        <v>0</v>
      </c>
      <c r="I147" s="6">
        <v>219134.20000000016</v>
      </c>
      <c r="K147" s="2"/>
      <c r="L147" s="34"/>
      <c r="O147" s="9"/>
    </row>
    <row r="148" spans="1:15" ht="16.5" customHeight="1">
      <c r="A148" s="5">
        <v>130</v>
      </c>
      <c r="B148" s="25">
        <v>47143</v>
      </c>
      <c r="C148" s="24">
        <v>131</v>
      </c>
      <c r="D148" s="6">
        <v>219134.20000000016</v>
      </c>
      <c r="E148" s="6">
        <v>1435.4</v>
      </c>
      <c r="F148" s="6">
        <v>595.3900000000001</v>
      </c>
      <c r="G148" s="6">
        <v>840.01</v>
      </c>
      <c r="H148" s="6">
        <v>0</v>
      </c>
      <c r="I148" s="6">
        <v>218538.81000000014</v>
      </c>
      <c r="K148" s="2"/>
      <c r="L148" s="34"/>
      <c r="O148" s="9"/>
    </row>
    <row r="149" spans="1:15" ht="16.5" customHeight="1">
      <c r="A149" s="5">
        <v>131</v>
      </c>
      <c r="B149" s="25">
        <v>47174</v>
      </c>
      <c r="C149" s="24">
        <v>132</v>
      </c>
      <c r="D149" s="6">
        <v>218538.81000000014</v>
      </c>
      <c r="E149" s="6">
        <v>1435.4</v>
      </c>
      <c r="F149" s="6">
        <v>597.67000000000007</v>
      </c>
      <c r="G149" s="6">
        <v>837.73</v>
      </c>
      <c r="H149" s="6">
        <v>0</v>
      </c>
      <c r="I149" s="6">
        <v>217941.14000000013</v>
      </c>
      <c r="K149" s="2"/>
      <c r="L149" s="34"/>
      <c r="O149" s="9"/>
    </row>
    <row r="150" spans="1:15" ht="16.5" customHeight="1">
      <c r="A150" s="5">
        <v>132</v>
      </c>
      <c r="B150" s="25">
        <v>47202</v>
      </c>
      <c r="C150" s="24">
        <v>133</v>
      </c>
      <c r="D150" s="6">
        <v>217941.14000000013</v>
      </c>
      <c r="E150" s="6">
        <v>1435.4</v>
      </c>
      <c r="F150" s="6">
        <v>599.96</v>
      </c>
      <c r="G150" s="6">
        <v>835.44</v>
      </c>
      <c r="H150" s="6">
        <v>0</v>
      </c>
      <c r="I150" s="6">
        <v>217341.18000000014</v>
      </c>
      <c r="K150" s="2"/>
      <c r="L150" s="34"/>
      <c r="O150" s="9"/>
    </row>
    <row r="151" spans="1:15" ht="16.5" customHeight="1">
      <c r="A151" s="5">
        <v>133</v>
      </c>
      <c r="B151" s="25">
        <v>47233</v>
      </c>
      <c r="C151" s="24">
        <v>134</v>
      </c>
      <c r="D151" s="6">
        <v>217341.18000000014</v>
      </c>
      <c r="E151" s="6">
        <v>1435.4</v>
      </c>
      <c r="F151" s="6">
        <v>602.2600000000001</v>
      </c>
      <c r="G151" s="6">
        <v>833.14</v>
      </c>
      <c r="H151" s="6">
        <v>0</v>
      </c>
      <c r="I151" s="6">
        <v>216738.92000000013</v>
      </c>
      <c r="K151" s="2"/>
      <c r="L151" s="34"/>
      <c r="O151" s="9"/>
    </row>
    <row r="152" spans="1:15" ht="16.5" customHeight="1">
      <c r="A152" s="5">
        <v>134</v>
      </c>
      <c r="B152" s="25">
        <v>47263</v>
      </c>
      <c r="C152" s="24">
        <v>135</v>
      </c>
      <c r="D152" s="6">
        <v>216738.92000000013</v>
      </c>
      <c r="E152" s="6">
        <v>1435.4</v>
      </c>
      <c r="F152" s="6">
        <v>604.57000000000005</v>
      </c>
      <c r="G152" s="6">
        <v>830.83</v>
      </c>
      <c r="H152" s="6">
        <v>0</v>
      </c>
      <c r="I152" s="6">
        <v>216134.35000000012</v>
      </c>
      <c r="K152" s="2"/>
      <c r="L152" s="34"/>
      <c r="O152" s="9"/>
    </row>
    <row r="153" spans="1:15" ht="16.5" customHeight="1">
      <c r="A153" s="5">
        <v>135</v>
      </c>
      <c r="B153" s="25">
        <v>47294</v>
      </c>
      <c r="C153" s="24">
        <v>136</v>
      </c>
      <c r="D153" s="6">
        <v>216134.35000000012</v>
      </c>
      <c r="E153" s="6">
        <v>1435.4</v>
      </c>
      <c r="F153" s="6">
        <v>606.88000000000011</v>
      </c>
      <c r="G153" s="6">
        <v>828.52</v>
      </c>
      <c r="H153" s="6">
        <v>0</v>
      </c>
      <c r="I153" s="6">
        <v>215527.47000000012</v>
      </c>
      <c r="K153" s="2"/>
      <c r="L153" s="34"/>
      <c r="O153" s="9"/>
    </row>
    <row r="154" spans="1:15" ht="16.5" customHeight="1">
      <c r="A154" s="5">
        <v>136</v>
      </c>
      <c r="B154" s="25">
        <v>47324</v>
      </c>
      <c r="C154" s="24">
        <v>137</v>
      </c>
      <c r="D154" s="6">
        <v>215527.47000000012</v>
      </c>
      <c r="E154" s="6">
        <v>1435.4</v>
      </c>
      <c r="F154" s="6">
        <v>609.21</v>
      </c>
      <c r="G154" s="6">
        <v>826.19</v>
      </c>
      <c r="H154" s="6">
        <v>0</v>
      </c>
      <c r="I154" s="6">
        <v>214918.26000000013</v>
      </c>
      <c r="K154" s="2"/>
      <c r="L154" s="34"/>
      <c r="O154" s="9"/>
    </row>
    <row r="155" spans="1:15" ht="16.5" customHeight="1">
      <c r="A155" s="5">
        <v>137</v>
      </c>
      <c r="B155" s="25">
        <v>47355</v>
      </c>
      <c r="C155" s="24">
        <v>138</v>
      </c>
      <c r="D155" s="6">
        <v>214918.26000000013</v>
      </c>
      <c r="E155" s="6">
        <v>1435.4</v>
      </c>
      <c r="F155" s="6">
        <v>611.55000000000007</v>
      </c>
      <c r="G155" s="6">
        <v>823.85</v>
      </c>
      <c r="H155" s="6">
        <v>0</v>
      </c>
      <c r="I155" s="6">
        <v>214306.71000000014</v>
      </c>
      <c r="K155" s="2"/>
      <c r="L155" s="34"/>
      <c r="O155" s="9"/>
    </row>
    <row r="156" spans="1:15" ht="16.5" customHeight="1">
      <c r="A156" s="5">
        <v>138</v>
      </c>
      <c r="B156" s="25">
        <v>47386</v>
      </c>
      <c r="C156" s="24">
        <v>139</v>
      </c>
      <c r="D156" s="6">
        <v>214306.71000000014</v>
      </c>
      <c r="E156" s="6">
        <v>1435.4</v>
      </c>
      <c r="F156" s="6">
        <v>613.8900000000001</v>
      </c>
      <c r="G156" s="6">
        <v>821.51</v>
      </c>
      <c r="H156" s="6">
        <v>0</v>
      </c>
      <c r="I156" s="6">
        <v>213692.82000000012</v>
      </c>
      <c r="K156" s="2"/>
      <c r="L156" s="34"/>
      <c r="O156" s="9"/>
    </row>
    <row r="157" spans="1:15" ht="16.5" customHeight="1">
      <c r="A157" s="5">
        <v>139</v>
      </c>
      <c r="B157" s="25">
        <v>47416</v>
      </c>
      <c r="C157" s="24">
        <v>140</v>
      </c>
      <c r="D157" s="6">
        <v>213692.82000000012</v>
      </c>
      <c r="E157" s="6">
        <v>1435.4</v>
      </c>
      <c r="F157" s="6">
        <v>616.24000000000012</v>
      </c>
      <c r="G157" s="6">
        <v>819.16</v>
      </c>
      <c r="H157" s="6">
        <v>0</v>
      </c>
      <c r="I157" s="6">
        <v>213076.58000000013</v>
      </c>
      <c r="K157" s="2"/>
      <c r="L157" s="34"/>
      <c r="O157" s="9"/>
    </row>
    <row r="158" spans="1:15" ht="16.5" customHeight="1">
      <c r="A158" s="5">
        <v>140</v>
      </c>
      <c r="B158" s="25">
        <v>47447</v>
      </c>
      <c r="C158" s="24">
        <v>141</v>
      </c>
      <c r="D158" s="6">
        <v>213076.58000000013</v>
      </c>
      <c r="E158" s="6">
        <v>1435.4</v>
      </c>
      <c r="F158" s="6">
        <v>618.61000000000013</v>
      </c>
      <c r="G158" s="6">
        <v>816.79</v>
      </c>
      <c r="H158" s="6">
        <v>0</v>
      </c>
      <c r="I158" s="6">
        <v>212457.97000000015</v>
      </c>
      <c r="K158" s="2"/>
      <c r="L158" s="34"/>
      <c r="O158" s="9"/>
    </row>
    <row r="159" spans="1:15" ht="16.5" customHeight="1">
      <c r="A159" s="5">
        <v>141</v>
      </c>
      <c r="B159" s="25">
        <v>47477</v>
      </c>
      <c r="C159" s="24">
        <v>142</v>
      </c>
      <c r="D159" s="6">
        <v>212457.97000000015</v>
      </c>
      <c r="E159" s="6">
        <v>1435.4</v>
      </c>
      <c r="F159" s="6">
        <v>620.98000000000013</v>
      </c>
      <c r="G159" s="6">
        <v>814.42</v>
      </c>
      <c r="H159" s="6">
        <v>0</v>
      </c>
      <c r="I159" s="6">
        <v>211836.99000000014</v>
      </c>
      <c r="K159" s="2"/>
      <c r="L159" s="34"/>
      <c r="O159" s="9"/>
    </row>
    <row r="160" spans="1:15" ht="16.5" customHeight="1">
      <c r="A160" s="5">
        <v>142</v>
      </c>
      <c r="B160" s="25">
        <v>47508</v>
      </c>
      <c r="C160" s="24">
        <v>143</v>
      </c>
      <c r="D160" s="6">
        <v>211836.99000000014</v>
      </c>
      <c r="E160" s="6">
        <v>1435.4</v>
      </c>
      <c r="F160" s="6">
        <v>623.36000000000013</v>
      </c>
      <c r="G160" s="6">
        <v>812.04</v>
      </c>
      <c r="H160" s="6">
        <v>0</v>
      </c>
      <c r="I160" s="6">
        <v>211213.63000000015</v>
      </c>
      <c r="K160" s="2"/>
      <c r="L160" s="34"/>
      <c r="O160" s="9"/>
    </row>
    <row r="161" spans="1:15" ht="16.5" customHeight="1">
      <c r="A161" s="5">
        <v>143</v>
      </c>
      <c r="B161" s="25">
        <v>47539</v>
      </c>
      <c r="C161" s="24">
        <v>144</v>
      </c>
      <c r="D161" s="6">
        <v>211213.63000000015</v>
      </c>
      <c r="E161" s="6">
        <v>1435.4</v>
      </c>
      <c r="F161" s="6">
        <v>625.75000000000011</v>
      </c>
      <c r="G161" s="6">
        <v>809.65</v>
      </c>
      <c r="H161" s="6">
        <v>0</v>
      </c>
      <c r="I161" s="6">
        <v>210587.88000000015</v>
      </c>
      <c r="K161" s="2"/>
      <c r="L161" s="34"/>
      <c r="O161" s="9"/>
    </row>
    <row r="162" spans="1:15" ht="16.5" customHeight="1">
      <c r="A162" s="5">
        <v>144</v>
      </c>
      <c r="B162" s="25">
        <v>47567</v>
      </c>
      <c r="C162" s="24">
        <v>145</v>
      </c>
      <c r="D162" s="6">
        <v>210587.88000000015</v>
      </c>
      <c r="E162" s="6">
        <v>1435.4</v>
      </c>
      <c r="F162" s="6">
        <v>628.15000000000009</v>
      </c>
      <c r="G162" s="6">
        <v>807.25</v>
      </c>
      <c r="H162" s="6">
        <v>0</v>
      </c>
      <c r="I162" s="6">
        <v>209959.73000000016</v>
      </c>
      <c r="K162" s="2"/>
      <c r="L162" s="34"/>
      <c r="O162" s="9"/>
    </row>
    <row r="163" spans="1:15" ht="16.5" customHeight="1">
      <c r="A163" s="5">
        <v>145</v>
      </c>
      <c r="B163" s="25">
        <v>47598</v>
      </c>
      <c r="C163" s="24">
        <v>146</v>
      </c>
      <c r="D163" s="6">
        <v>209959.73000000016</v>
      </c>
      <c r="E163" s="6">
        <v>1435.4</v>
      </c>
      <c r="F163" s="6">
        <v>630.55000000000007</v>
      </c>
      <c r="G163" s="6">
        <v>804.85</v>
      </c>
      <c r="H163" s="6">
        <v>0</v>
      </c>
      <c r="I163" s="6">
        <v>209329.18000000017</v>
      </c>
      <c r="K163" s="2"/>
      <c r="L163" s="34"/>
      <c r="O163" s="9"/>
    </row>
    <row r="164" spans="1:15" ht="16.5" customHeight="1">
      <c r="A164" s="5">
        <v>146</v>
      </c>
      <c r="B164" s="25">
        <v>47628</v>
      </c>
      <c r="C164" s="24">
        <v>147</v>
      </c>
      <c r="D164" s="6">
        <v>209329.18000000017</v>
      </c>
      <c r="E164" s="6">
        <v>1435.4</v>
      </c>
      <c r="F164" s="6">
        <v>632.97000000000014</v>
      </c>
      <c r="G164" s="6">
        <v>802.43</v>
      </c>
      <c r="H164" s="6">
        <v>0</v>
      </c>
      <c r="I164" s="6">
        <v>208696.21000000017</v>
      </c>
      <c r="K164" s="2"/>
      <c r="L164" s="34"/>
      <c r="O164" s="9"/>
    </row>
    <row r="165" spans="1:15" ht="16.5" customHeight="1">
      <c r="A165" s="5">
        <v>147</v>
      </c>
      <c r="B165" s="25">
        <v>47659</v>
      </c>
      <c r="C165" s="24">
        <v>148</v>
      </c>
      <c r="D165" s="6">
        <v>208696.21000000017</v>
      </c>
      <c r="E165" s="6">
        <v>1435.4</v>
      </c>
      <c r="F165" s="6">
        <v>635.40000000000009</v>
      </c>
      <c r="G165" s="6">
        <v>800</v>
      </c>
      <c r="H165" s="6">
        <v>0</v>
      </c>
      <c r="I165" s="6">
        <v>208060.81000000017</v>
      </c>
      <c r="K165" s="2"/>
      <c r="L165" s="34"/>
      <c r="O165" s="9"/>
    </row>
    <row r="166" spans="1:15" ht="16.5" customHeight="1">
      <c r="A166" s="5">
        <v>148</v>
      </c>
      <c r="B166" s="25">
        <v>47689</v>
      </c>
      <c r="C166" s="24">
        <v>149</v>
      </c>
      <c r="D166" s="6">
        <v>208060.81000000017</v>
      </c>
      <c r="E166" s="6">
        <v>1435.4</v>
      </c>
      <c r="F166" s="6">
        <v>637.83000000000004</v>
      </c>
      <c r="G166" s="6">
        <v>797.57</v>
      </c>
      <c r="H166" s="6">
        <v>0</v>
      </c>
      <c r="I166" s="6">
        <v>207422.98000000019</v>
      </c>
      <c r="K166" s="2"/>
      <c r="L166" s="34"/>
      <c r="O166" s="9"/>
    </row>
    <row r="167" spans="1:15" ht="16.5" customHeight="1">
      <c r="A167" s="5">
        <v>149</v>
      </c>
      <c r="B167" s="25">
        <v>47720</v>
      </c>
      <c r="C167" s="24">
        <v>150</v>
      </c>
      <c r="D167" s="6">
        <v>207422.98000000019</v>
      </c>
      <c r="E167" s="6">
        <v>1435.4</v>
      </c>
      <c r="F167" s="6">
        <v>640.28000000000009</v>
      </c>
      <c r="G167" s="6">
        <v>795.12</v>
      </c>
      <c r="H167" s="6">
        <v>0</v>
      </c>
      <c r="I167" s="6">
        <v>206782.70000000019</v>
      </c>
      <c r="K167" s="2"/>
      <c r="L167" s="34"/>
      <c r="O167" s="9"/>
    </row>
    <row r="168" spans="1:15" ht="16.5" customHeight="1">
      <c r="A168" s="5">
        <v>150</v>
      </c>
      <c r="B168" s="25">
        <v>47751</v>
      </c>
      <c r="C168" s="24">
        <v>151</v>
      </c>
      <c r="D168" s="6">
        <v>206782.70000000019</v>
      </c>
      <c r="E168" s="6">
        <v>1435.4</v>
      </c>
      <c r="F168" s="6">
        <v>642.73000000000013</v>
      </c>
      <c r="G168" s="6">
        <v>792.67</v>
      </c>
      <c r="H168" s="6">
        <v>0</v>
      </c>
      <c r="I168" s="6">
        <v>206139.97000000018</v>
      </c>
      <c r="K168" s="2"/>
      <c r="L168" s="34"/>
      <c r="O168" s="9"/>
    </row>
    <row r="169" spans="1:15" ht="16.5" customHeight="1">
      <c r="A169" s="5">
        <v>151</v>
      </c>
      <c r="B169" s="25">
        <v>47781</v>
      </c>
      <c r="C169" s="24">
        <v>152</v>
      </c>
      <c r="D169" s="6">
        <v>206139.97000000018</v>
      </c>
      <c r="E169" s="6">
        <v>1435.4</v>
      </c>
      <c r="F169" s="6">
        <v>645.20000000000005</v>
      </c>
      <c r="G169" s="6">
        <v>790.2</v>
      </c>
      <c r="H169" s="6">
        <v>0</v>
      </c>
      <c r="I169" s="6">
        <v>205494.77000000016</v>
      </c>
      <c r="K169" s="2"/>
      <c r="L169" s="34"/>
      <c r="O169" s="9"/>
    </row>
    <row r="170" spans="1:15" ht="16.5" customHeight="1">
      <c r="A170" s="5">
        <v>152</v>
      </c>
      <c r="B170" s="25">
        <v>47812</v>
      </c>
      <c r="C170" s="24">
        <v>153</v>
      </c>
      <c r="D170" s="6">
        <v>205494.77000000016</v>
      </c>
      <c r="E170" s="6">
        <v>1435.4</v>
      </c>
      <c r="F170" s="6">
        <v>647.67000000000007</v>
      </c>
      <c r="G170" s="6">
        <v>787.73</v>
      </c>
      <c r="H170" s="6">
        <v>0</v>
      </c>
      <c r="I170" s="6">
        <v>204847.10000000015</v>
      </c>
      <c r="K170" s="2"/>
      <c r="L170" s="34"/>
      <c r="O170" s="9"/>
    </row>
    <row r="171" spans="1:15" ht="16.5" customHeight="1">
      <c r="A171" s="5">
        <v>153</v>
      </c>
      <c r="B171" s="25">
        <v>47842</v>
      </c>
      <c r="C171" s="24">
        <v>154</v>
      </c>
      <c r="D171" s="6">
        <v>204847.10000000015</v>
      </c>
      <c r="E171" s="6">
        <v>1435.4</v>
      </c>
      <c r="F171" s="6">
        <v>650.15000000000009</v>
      </c>
      <c r="G171" s="6">
        <v>785.25</v>
      </c>
      <c r="H171" s="6">
        <v>0</v>
      </c>
      <c r="I171" s="6">
        <v>204196.95000000016</v>
      </c>
      <c r="K171" s="2"/>
      <c r="L171" s="34"/>
      <c r="O171" s="9"/>
    </row>
    <row r="172" spans="1:15" ht="16.5" customHeight="1">
      <c r="A172" s="5">
        <v>154</v>
      </c>
      <c r="B172" s="25">
        <v>47873</v>
      </c>
      <c r="C172" s="24">
        <v>155</v>
      </c>
      <c r="D172" s="6">
        <v>204196.95000000016</v>
      </c>
      <c r="E172" s="6">
        <v>1435.4</v>
      </c>
      <c r="F172" s="6">
        <v>652.65000000000009</v>
      </c>
      <c r="G172" s="6">
        <v>782.75</v>
      </c>
      <c r="H172" s="6">
        <v>0</v>
      </c>
      <c r="I172" s="6">
        <v>203544.30000000016</v>
      </c>
      <c r="K172" s="2"/>
      <c r="L172" s="34"/>
      <c r="O172" s="9"/>
    </row>
    <row r="173" spans="1:15" ht="16.5" customHeight="1">
      <c r="A173" s="5">
        <v>155</v>
      </c>
      <c r="B173" s="25">
        <v>47904</v>
      </c>
      <c r="C173" s="24">
        <v>156</v>
      </c>
      <c r="D173" s="6">
        <v>203544.30000000016</v>
      </c>
      <c r="E173" s="6">
        <v>1435.4</v>
      </c>
      <c r="F173" s="6">
        <v>655.15000000000009</v>
      </c>
      <c r="G173" s="6">
        <v>780.25</v>
      </c>
      <c r="H173" s="6">
        <v>0</v>
      </c>
      <c r="I173" s="6">
        <v>202889.15000000017</v>
      </c>
      <c r="K173" s="2"/>
      <c r="L173" s="34"/>
      <c r="O173" s="9"/>
    </row>
    <row r="174" spans="1:15" ht="16.5" customHeight="1">
      <c r="A174" s="5">
        <v>156</v>
      </c>
      <c r="B174" s="25">
        <v>47932</v>
      </c>
      <c r="C174" s="24">
        <v>157</v>
      </c>
      <c r="D174" s="6">
        <v>202889.15000000017</v>
      </c>
      <c r="E174" s="6">
        <v>1435.4</v>
      </c>
      <c r="F174" s="6">
        <v>657.66000000000008</v>
      </c>
      <c r="G174" s="6">
        <v>777.74</v>
      </c>
      <c r="H174" s="6">
        <v>0</v>
      </c>
      <c r="I174" s="6">
        <v>202231.49000000017</v>
      </c>
      <c r="K174" s="2"/>
      <c r="L174" s="34"/>
      <c r="O174" s="9"/>
    </row>
    <row r="175" spans="1:15" ht="16.5" customHeight="1">
      <c r="A175" s="5">
        <v>157</v>
      </c>
      <c r="B175" s="25">
        <v>47963</v>
      </c>
      <c r="C175" s="24">
        <v>158</v>
      </c>
      <c r="D175" s="6">
        <v>202231.49000000017</v>
      </c>
      <c r="E175" s="6">
        <v>1435.4</v>
      </c>
      <c r="F175" s="6">
        <v>660.18000000000006</v>
      </c>
      <c r="G175" s="6">
        <v>775.22</v>
      </c>
      <c r="H175" s="6">
        <v>0</v>
      </c>
      <c r="I175" s="6">
        <v>201571.31000000017</v>
      </c>
      <c r="K175" s="2"/>
      <c r="L175" s="34"/>
      <c r="O175" s="9"/>
    </row>
    <row r="176" spans="1:15" ht="16.5" customHeight="1">
      <c r="A176" s="5">
        <v>158</v>
      </c>
      <c r="B176" s="25">
        <v>47993</v>
      </c>
      <c r="C176" s="24">
        <v>159</v>
      </c>
      <c r="D176" s="6">
        <v>201571.31000000017</v>
      </c>
      <c r="E176" s="6">
        <v>1435.4</v>
      </c>
      <c r="F176" s="6">
        <v>662.71</v>
      </c>
      <c r="G176" s="6">
        <v>772.69</v>
      </c>
      <c r="H176" s="6">
        <v>0</v>
      </c>
      <c r="I176" s="6">
        <v>200908.60000000018</v>
      </c>
      <c r="K176" s="2"/>
      <c r="L176" s="34"/>
      <c r="O176" s="9"/>
    </row>
    <row r="177" spans="1:15" ht="16.5" customHeight="1">
      <c r="A177" s="5">
        <v>159</v>
      </c>
      <c r="B177" s="25">
        <v>48024</v>
      </c>
      <c r="C177" s="24">
        <v>160</v>
      </c>
      <c r="D177" s="6">
        <v>200908.60000000018</v>
      </c>
      <c r="E177" s="6">
        <v>1435.4</v>
      </c>
      <c r="F177" s="6">
        <v>665.25000000000011</v>
      </c>
      <c r="G177" s="6">
        <v>770.15</v>
      </c>
      <c r="H177" s="6">
        <v>0</v>
      </c>
      <c r="I177" s="6">
        <v>200243.35000000018</v>
      </c>
      <c r="K177" s="2"/>
      <c r="L177" s="34"/>
      <c r="O177" s="9"/>
    </row>
    <row r="178" spans="1:15" ht="16.5" customHeight="1">
      <c r="A178" s="5">
        <v>160</v>
      </c>
      <c r="B178" s="25">
        <v>48054</v>
      </c>
      <c r="C178" s="24">
        <v>161</v>
      </c>
      <c r="D178" s="6">
        <v>200243.35000000018</v>
      </c>
      <c r="E178" s="6">
        <v>1435.4</v>
      </c>
      <c r="F178" s="6">
        <v>667.80000000000007</v>
      </c>
      <c r="G178" s="6">
        <v>767.6</v>
      </c>
      <c r="H178" s="6">
        <v>0</v>
      </c>
      <c r="I178" s="6">
        <v>199575.55000000019</v>
      </c>
      <c r="K178" s="2"/>
      <c r="L178" s="34"/>
      <c r="O178" s="9"/>
    </row>
    <row r="179" spans="1:15" ht="16.5" customHeight="1">
      <c r="A179" s="5">
        <v>161</v>
      </c>
      <c r="B179" s="25">
        <v>48085</v>
      </c>
      <c r="C179" s="24">
        <v>162</v>
      </c>
      <c r="D179" s="6">
        <v>199575.55000000019</v>
      </c>
      <c r="E179" s="6">
        <v>1435.4</v>
      </c>
      <c r="F179" s="6">
        <v>670.36000000000013</v>
      </c>
      <c r="G179" s="6">
        <v>765.04</v>
      </c>
      <c r="H179" s="6">
        <v>0</v>
      </c>
      <c r="I179" s="6">
        <v>198905.19000000021</v>
      </c>
      <c r="K179" s="2"/>
      <c r="L179" s="34"/>
      <c r="O179" s="9"/>
    </row>
    <row r="180" spans="1:15" ht="16.5" customHeight="1">
      <c r="A180" s="5">
        <v>162</v>
      </c>
      <c r="B180" s="25">
        <v>48116</v>
      </c>
      <c r="C180" s="24">
        <v>163</v>
      </c>
      <c r="D180" s="6">
        <v>198905.19000000021</v>
      </c>
      <c r="E180" s="6">
        <v>1435.4</v>
      </c>
      <c r="F180" s="6">
        <v>672.93000000000006</v>
      </c>
      <c r="G180" s="6">
        <v>762.47</v>
      </c>
      <c r="H180" s="6">
        <v>0</v>
      </c>
      <c r="I180" s="6">
        <v>198232.26000000021</v>
      </c>
      <c r="K180" s="2"/>
      <c r="L180" s="34"/>
      <c r="O180" s="9"/>
    </row>
    <row r="181" spans="1:15" ht="16.5" customHeight="1">
      <c r="A181" s="5">
        <v>163</v>
      </c>
      <c r="B181" s="25">
        <v>48146</v>
      </c>
      <c r="C181" s="24">
        <v>164</v>
      </c>
      <c r="D181" s="6">
        <v>198232.26000000021</v>
      </c>
      <c r="E181" s="6">
        <v>1435.4</v>
      </c>
      <c r="F181" s="6">
        <v>675.5100000000001</v>
      </c>
      <c r="G181" s="6">
        <v>759.89</v>
      </c>
      <c r="H181" s="6">
        <v>0</v>
      </c>
      <c r="I181" s="6">
        <v>197556.7500000002</v>
      </c>
      <c r="K181" s="2"/>
      <c r="L181" s="34"/>
      <c r="O181" s="9"/>
    </row>
    <row r="182" spans="1:15" ht="16.5" customHeight="1">
      <c r="A182" s="5">
        <v>164</v>
      </c>
      <c r="B182" s="25">
        <v>48177</v>
      </c>
      <c r="C182" s="24">
        <v>165</v>
      </c>
      <c r="D182" s="6">
        <v>197556.7500000002</v>
      </c>
      <c r="E182" s="6">
        <v>1435.4</v>
      </c>
      <c r="F182" s="6">
        <v>678.10000000000014</v>
      </c>
      <c r="G182" s="6">
        <v>757.3</v>
      </c>
      <c r="H182" s="6">
        <v>0</v>
      </c>
      <c r="I182" s="6">
        <v>196878.6500000002</v>
      </c>
      <c r="K182" s="2"/>
      <c r="L182" s="34"/>
      <c r="O182" s="9"/>
    </row>
    <row r="183" spans="1:15" ht="16.5" customHeight="1">
      <c r="A183" s="5">
        <v>165</v>
      </c>
      <c r="B183" s="25">
        <v>48207</v>
      </c>
      <c r="C183" s="24">
        <v>166</v>
      </c>
      <c r="D183" s="6">
        <v>196878.6500000002</v>
      </c>
      <c r="E183" s="6">
        <v>1435.4</v>
      </c>
      <c r="F183" s="6">
        <v>680.7</v>
      </c>
      <c r="G183" s="6">
        <v>754.7</v>
      </c>
      <c r="H183" s="6">
        <v>0</v>
      </c>
      <c r="I183" s="6">
        <v>196197.95000000019</v>
      </c>
      <c r="K183" s="2"/>
      <c r="L183" s="34"/>
      <c r="O183" s="9"/>
    </row>
    <row r="184" spans="1:15" ht="16.5" customHeight="1">
      <c r="A184" s="5">
        <v>166</v>
      </c>
      <c r="B184" s="25">
        <v>48238</v>
      </c>
      <c r="C184" s="24">
        <v>167</v>
      </c>
      <c r="D184" s="6">
        <v>196197.95000000019</v>
      </c>
      <c r="E184" s="6">
        <v>1435.4</v>
      </c>
      <c r="F184" s="6">
        <v>683.31000000000006</v>
      </c>
      <c r="G184" s="6">
        <v>752.09</v>
      </c>
      <c r="H184" s="6">
        <v>0</v>
      </c>
      <c r="I184" s="6">
        <v>195514.64000000019</v>
      </c>
      <c r="K184" s="2"/>
      <c r="L184" s="34"/>
      <c r="O184" s="9"/>
    </row>
    <row r="185" spans="1:15" ht="16.5" customHeight="1">
      <c r="A185" s="5">
        <v>167</v>
      </c>
      <c r="B185" s="25">
        <v>48269</v>
      </c>
      <c r="C185" s="24">
        <v>168</v>
      </c>
      <c r="D185" s="6">
        <v>195514.64000000019</v>
      </c>
      <c r="E185" s="6">
        <v>1435.4</v>
      </c>
      <c r="F185" s="6">
        <v>685.93000000000006</v>
      </c>
      <c r="G185" s="6">
        <v>749.47</v>
      </c>
      <c r="H185" s="6">
        <v>0</v>
      </c>
      <c r="I185" s="6">
        <v>194828.7100000002</v>
      </c>
      <c r="K185" s="2"/>
      <c r="L185" s="34"/>
      <c r="O185" s="9"/>
    </row>
    <row r="186" spans="1:15" ht="16.5" customHeight="1">
      <c r="A186" s="5">
        <v>168</v>
      </c>
      <c r="B186" s="25">
        <v>48298</v>
      </c>
      <c r="C186" s="24">
        <v>169</v>
      </c>
      <c r="D186" s="6">
        <v>194828.7100000002</v>
      </c>
      <c r="E186" s="6">
        <v>1435.4</v>
      </c>
      <c r="F186" s="6">
        <v>688.56000000000006</v>
      </c>
      <c r="G186" s="6">
        <v>746.84</v>
      </c>
      <c r="H186" s="6">
        <v>0</v>
      </c>
      <c r="I186" s="6">
        <v>194140.1500000002</v>
      </c>
      <c r="K186" s="2"/>
      <c r="L186" s="34"/>
      <c r="O186" s="9"/>
    </row>
    <row r="187" spans="1:15" ht="16.5" customHeight="1">
      <c r="A187" s="5">
        <v>169</v>
      </c>
      <c r="B187" s="25">
        <v>48329</v>
      </c>
      <c r="C187" s="24">
        <v>170</v>
      </c>
      <c r="D187" s="6">
        <v>194140.1500000002</v>
      </c>
      <c r="E187" s="6">
        <v>1435.4</v>
      </c>
      <c r="F187" s="6">
        <v>691.2</v>
      </c>
      <c r="G187" s="6">
        <v>744.2</v>
      </c>
      <c r="H187" s="6">
        <v>0</v>
      </c>
      <c r="I187" s="6">
        <v>193448.95000000019</v>
      </c>
      <c r="K187" s="2"/>
      <c r="L187" s="34"/>
      <c r="O187" s="9"/>
    </row>
    <row r="188" spans="1:15" ht="16.5" customHeight="1">
      <c r="A188" s="5">
        <v>170</v>
      </c>
      <c r="B188" s="25">
        <v>48359</v>
      </c>
      <c r="C188" s="24">
        <v>171</v>
      </c>
      <c r="D188" s="6">
        <v>193448.95000000019</v>
      </c>
      <c r="E188" s="6">
        <v>1435.4</v>
      </c>
      <c r="F188" s="6">
        <v>693.85000000000014</v>
      </c>
      <c r="G188" s="6">
        <v>741.55</v>
      </c>
      <c r="H188" s="6">
        <v>0</v>
      </c>
      <c r="I188" s="6">
        <v>192755.10000000018</v>
      </c>
      <c r="K188" s="2"/>
      <c r="L188" s="34"/>
      <c r="O188" s="9"/>
    </row>
    <row r="189" spans="1:15" ht="16.5" customHeight="1">
      <c r="A189" s="5">
        <v>171</v>
      </c>
      <c r="B189" s="25">
        <v>48390</v>
      </c>
      <c r="C189" s="24">
        <v>172</v>
      </c>
      <c r="D189" s="6">
        <v>192755.10000000018</v>
      </c>
      <c r="E189" s="6">
        <v>1435.4</v>
      </c>
      <c r="F189" s="6">
        <v>696.5100000000001</v>
      </c>
      <c r="G189" s="6">
        <v>738.89</v>
      </c>
      <c r="H189" s="6">
        <v>0</v>
      </c>
      <c r="I189" s="6">
        <v>192058.59000000017</v>
      </c>
      <c r="K189" s="2"/>
      <c r="L189" s="34"/>
      <c r="O189" s="9"/>
    </row>
    <row r="190" spans="1:15" ht="16.5" customHeight="1">
      <c r="A190" s="5">
        <v>172</v>
      </c>
      <c r="B190" s="25">
        <v>48420</v>
      </c>
      <c r="C190" s="24">
        <v>173</v>
      </c>
      <c r="D190" s="6">
        <v>192058.59000000017</v>
      </c>
      <c r="E190" s="6">
        <v>1435.4</v>
      </c>
      <c r="F190" s="6">
        <v>699.18000000000006</v>
      </c>
      <c r="G190" s="6">
        <v>736.22</v>
      </c>
      <c r="H190" s="6">
        <v>0</v>
      </c>
      <c r="I190" s="6">
        <v>191359.41000000018</v>
      </c>
      <c r="K190" s="2"/>
      <c r="L190" s="34"/>
      <c r="O190" s="9"/>
    </row>
    <row r="191" spans="1:15" ht="16.5" customHeight="1">
      <c r="A191" s="5">
        <v>173</v>
      </c>
      <c r="B191" s="25">
        <v>48451</v>
      </c>
      <c r="C191" s="24">
        <v>174</v>
      </c>
      <c r="D191" s="6">
        <v>191359.41000000018</v>
      </c>
      <c r="E191" s="6">
        <v>1435.4</v>
      </c>
      <c r="F191" s="6">
        <v>701.86000000000013</v>
      </c>
      <c r="G191" s="6">
        <v>733.54</v>
      </c>
      <c r="H191" s="6">
        <v>0</v>
      </c>
      <c r="I191" s="6">
        <v>190657.55000000019</v>
      </c>
      <c r="K191" s="2"/>
      <c r="L191" s="34"/>
      <c r="O191" s="9"/>
    </row>
    <row r="192" spans="1:15" ht="16.5" customHeight="1">
      <c r="A192" s="5">
        <v>174</v>
      </c>
      <c r="B192" s="25">
        <v>48482</v>
      </c>
      <c r="C192" s="24">
        <v>175</v>
      </c>
      <c r="D192" s="6">
        <v>190657.55000000019</v>
      </c>
      <c r="E192" s="6">
        <v>1435.4</v>
      </c>
      <c r="F192" s="6">
        <v>704.55000000000007</v>
      </c>
      <c r="G192" s="6">
        <v>730.85</v>
      </c>
      <c r="H192" s="6">
        <v>0</v>
      </c>
      <c r="I192" s="6">
        <v>189953.0000000002</v>
      </c>
      <c r="K192" s="2"/>
      <c r="L192" s="34"/>
      <c r="O192" s="9"/>
    </row>
    <row r="193" spans="1:15" ht="16.5" customHeight="1">
      <c r="A193" s="5">
        <v>175</v>
      </c>
      <c r="B193" s="25">
        <v>48512</v>
      </c>
      <c r="C193" s="24">
        <v>176</v>
      </c>
      <c r="D193" s="6">
        <v>189953.0000000002</v>
      </c>
      <c r="E193" s="6">
        <v>1435.4</v>
      </c>
      <c r="F193" s="6">
        <v>707.25000000000011</v>
      </c>
      <c r="G193" s="6">
        <v>728.15</v>
      </c>
      <c r="H193" s="6">
        <v>0</v>
      </c>
      <c r="I193" s="6">
        <v>189245.7500000002</v>
      </c>
      <c r="K193" s="2"/>
      <c r="L193" s="34"/>
      <c r="O193" s="9"/>
    </row>
    <row r="194" spans="1:15" ht="16.5" customHeight="1">
      <c r="A194" s="5">
        <v>176</v>
      </c>
      <c r="B194" s="25">
        <v>48543</v>
      </c>
      <c r="C194" s="24">
        <v>177</v>
      </c>
      <c r="D194" s="6">
        <v>189245.7500000002</v>
      </c>
      <c r="E194" s="6">
        <v>1435.4</v>
      </c>
      <c r="F194" s="6">
        <v>709.96</v>
      </c>
      <c r="G194" s="6">
        <v>725.44</v>
      </c>
      <c r="H194" s="6">
        <v>0</v>
      </c>
      <c r="I194" s="6">
        <v>188535.79000000021</v>
      </c>
      <c r="K194" s="2"/>
      <c r="L194" s="34"/>
      <c r="O194" s="34"/>
    </row>
    <row r="195" spans="1:15" ht="16.5" customHeight="1">
      <c r="A195" s="5">
        <v>177</v>
      </c>
      <c r="B195" s="25">
        <v>48573</v>
      </c>
      <c r="C195" s="24">
        <v>178</v>
      </c>
      <c r="D195" s="6">
        <v>188535.79000000021</v>
      </c>
      <c r="E195" s="6">
        <v>1435.4</v>
      </c>
      <c r="F195" s="6">
        <v>712.68000000000006</v>
      </c>
      <c r="G195" s="6">
        <v>722.72</v>
      </c>
      <c r="H195" s="6">
        <v>0</v>
      </c>
      <c r="I195" s="6">
        <v>187823.11000000022</v>
      </c>
      <c r="K195" s="2"/>
      <c r="L195" s="34"/>
      <c r="O195" s="34"/>
    </row>
    <row r="196" spans="1:15" ht="16.5" customHeight="1">
      <c r="A196" s="5">
        <v>178</v>
      </c>
      <c r="B196" s="25">
        <v>48604</v>
      </c>
      <c r="C196" s="24">
        <v>179</v>
      </c>
      <c r="D196" s="6">
        <v>187823.11000000022</v>
      </c>
      <c r="E196" s="6">
        <v>1435.4</v>
      </c>
      <c r="F196" s="6">
        <v>715.41000000000008</v>
      </c>
      <c r="G196" s="6">
        <v>719.99</v>
      </c>
      <c r="H196" s="6">
        <v>0</v>
      </c>
      <c r="I196" s="6">
        <v>187107.70000000022</v>
      </c>
      <c r="K196" s="2"/>
      <c r="L196" s="34"/>
      <c r="O196" s="34"/>
    </row>
    <row r="197" spans="1:15" ht="16.5" customHeight="1">
      <c r="A197" s="5">
        <v>179</v>
      </c>
      <c r="B197" s="25">
        <v>48635</v>
      </c>
      <c r="C197" s="24">
        <v>180</v>
      </c>
      <c r="D197" s="6">
        <v>187107.70000000022</v>
      </c>
      <c r="E197" s="6">
        <v>1435.4</v>
      </c>
      <c r="F197" s="6">
        <v>718.15000000000009</v>
      </c>
      <c r="G197" s="6">
        <v>717.25</v>
      </c>
      <c r="H197" s="6">
        <v>0</v>
      </c>
      <c r="I197" s="6">
        <v>186389.55000000022</v>
      </c>
      <c r="K197" s="2"/>
      <c r="L197" s="34"/>
      <c r="O197" s="34"/>
    </row>
    <row r="198" spans="1:15" ht="16.5" customHeight="1">
      <c r="A198" s="5">
        <v>180</v>
      </c>
      <c r="B198" s="25">
        <v>48663</v>
      </c>
      <c r="C198" s="24">
        <v>181</v>
      </c>
      <c r="D198" s="6">
        <v>186389.55000000022</v>
      </c>
      <c r="E198" s="6">
        <v>1435.4</v>
      </c>
      <c r="F198" s="6">
        <v>720.91000000000008</v>
      </c>
      <c r="G198" s="6">
        <v>714.49</v>
      </c>
      <c r="H198" s="6">
        <v>0</v>
      </c>
      <c r="I198" s="6">
        <v>185668.64000000022</v>
      </c>
      <c r="K198" s="2"/>
      <c r="L198" s="34"/>
      <c r="O198" s="34"/>
    </row>
    <row r="199" spans="1:15" ht="16.5" customHeight="1">
      <c r="A199" s="5">
        <v>181</v>
      </c>
      <c r="B199" s="25">
        <v>48694</v>
      </c>
      <c r="C199" s="24">
        <v>182</v>
      </c>
      <c r="D199" s="6">
        <v>185668.64000000022</v>
      </c>
      <c r="E199" s="6">
        <v>1435.4</v>
      </c>
      <c r="F199" s="6">
        <v>723.67000000000007</v>
      </c>
      <c r="G199" s="6">
        <v>711.73</v>
      </c>
      <c r="H199" s="6">
        <v>0</v>
      </c>
      <c r="I199" s="6">
        <v>184944.9700000002</v>
      </c>
      <c r="K199" s="2"/>
      <c r="L199" s="34"/>
      <c r="O199" s="34"/>
    </row>
    <row r="200" spans="1:15" ht="16.5" customHeight="1">
      <c r="A200" s="5">
        <v>182</v>
      </c>
      <c r="B200" s="25">
        <v>48724</v>
      </c>
      <c r="C200" s="24">
        <v>183</v>
      </c>
      <c r="D200" s="6">
        <v>184944.9700000002</v>
      </c>
      <c r="E200" s="6">
        <v>1435.4</v>
      </c>
      <c r="F200" s="6">
        <v>726.44</v>
      </c>
      <c r="G200" s="6">
        <v>708.96</v>
      </c>
      <c r="H200" s="6">
        <v>0</v>
      </c>
      <c r="I200" s="6">
        <v>184218.5300000002</v>
      </c>
      <c r="K200" s="2"/>
      <c r="L200" s="34"/>
      <c r="O200" s="34"/>
    </row>
    <row r="201" spans="1:15" ht="16.5" customHeight="1">
      <c r="A201" s="5">
        <v>183</v>
      </c>
      <c r="B201" s="25">
        <v>48755</v>
      </c>
      <c r="C201" s="24">
        <v>184</v>
      </c>
      <c r="D201" s="6">
        <v>184218.5300000002</v>
      </c>
      <c r="E201" s="6">
        <v>1435.4</v>
      </c>
      <c r="F201" s="6">
        <v>729.23000000000013</v>
      </c>
      <c r="G201" s="6">
        <v>706.17</v>
      </c>
      <c r="H201" s="6">
        <v>0</v>
      </c>
      <c r="I201" s="6">
        <v>183489.30000000019</v>
      </c>
      <c r="K201" s="2"/>
      <c r="L201" s="34"/>
      <c r="O201" s="34"/>
    </row>
    <row r="202" spans="1:15" ht="16.5" customHeight="1">
      <c r="A202" s="5">
        <v>184</v>
      </c>
      <c r="B202" s="25">
        <v>48785</v>
      </c>
      <c r="C202" s="24">
        <v>185</v>
      </c>
      <c r="D202" s="6">
        <v>183489.30000000019</v>
      </c>
      <c r="E202" s="6">
        <v>1435.4</v>
      </c>
      <c r="F202" s="6">
        <v>732.0200000000001</v>
      </c>
      <c r="G202" s="6">
        <v>703.38</v>
      </c>
      <c r="H202" s="6">
        <v>0</v>
      </c>
      <c r="I202" s="6">
        <v>182757.2800000002</v>
      </c>
      <c r="K202" s="2"/>
      <c r="L202" s="34"/>
      <c r="O202" s="34"/>
    </row>
    <row r="203" spans="1:15" ht="16.5" customHeight="1">
      <c r="A203" s="5">
        <v>185</v>
      </c>
      <c r="B203" s="25">
        <v>48816</v>
      </c>
      <c r="C203" s="24">
        <v>186</v>
      </c>
      <c r="D203" s="6">
        <v>182757.2800000002</v>
      </c>
      <c r="E203" s="6">
        <v>1435.4</v>
      </c>
      <c r="F203" s="6">
        <v>734.83</v>
      </c>
      <c r="G203" s="6">
        <v>700.57</v>
      </c>
      <c r="H203" s="6">
        <v>0</v>
      </c>
      <c r="I203" s="6">
        <v>182022.45000000022</v>
      </c>
      <c r="K203" s="2"/>
      <c r="L203" s="34"/>
      <c r="O203" s="34"/>
    </row>
    <row r="204" spans="1:15" ht="16.5" customHeight="1">
      <c r="A204" s="5">
        <v>186</v>
      </c>
      <c r="B204" s="25">
        <v>48847</v>
      </c>
      <c r="C204" s="24">
        <v>187</v>
      </c>
      <c r="D204" s="6">
        <v>182022.45000000022</v>
      </c>
      <c r="E204" s="6">
        <v>1435.4</v>
      </c>
      <c r="F204" s="6">
        <v>737.65000000000009</v>
      </c>
      <c r="G204" s="6">
        <v>697.75</v>
      </c>
      <c r="H204" s="6">
        <v>0</v>
      </c>
      <c r="I204" s="6">
        <v>181284.80000000022</v>
      </c>
      <c r="K204" s="2"/>
      <c r="L204" s="34"/>
      <c r="O204" s="34"/>
    </row>
    <row r="205" spans="1:15" ht="16.5" customHeight="1">
      <c r="A205" s="5">
        <v>187</v>
      </c>
      <c r="B205" s="25">
        <v>48877</v>
      </c>
      <c r="C205" s="24">
        <v>188</v>
      </c>
      <c r="D205" s="6">
        <v>181284.80000000022</v>
      </c>
      <c r="E205" s="6">
        <v>1435.4</v>
      </c>
      <c r="F205" s="6">
        <v>740.47000000000014</v>
      </c>
      <c r="G205" s="6">
        <v>694.93</v>
      </c>
      <c r="H205" s="6">
        <v>0</v>
      </c>
      <c r="I205" s="6">
        <v>180544.33000000022</v>
      </c>
      <c r="K205" s="2"/>
      <c r="L205" s="34"/>
      <c r="O205" s="34"/>
    </row>
    <row r="206" spans="1:15" ht="16.5" customHeight="1">
      <c r="A206" s="5">
        <v>188</v>
      </c>
      <c r="B206" s="25">
        <v>48908</v>
      </c>
      <c r="C206" s="24">
        <v>189</v>
      </c>
      <c r="D206" s="6">
        <v>180544.33000000022</v>
      </c>
      <c r="E206" s="6">
        <v>1435.4</v>
      </c>
      <c r="F206" s="6">
        <v>743.31000000000006</v>
      </c>
      <c r="G206" s="6">
        <v>692.09</v>
      </c>
      <c r="H206" s="6">
        <v>0</v>
      </c>
      <c r="I206" s="6">
        <v>179801.02000000022</v>
      </c>
      <c r="K206" s="2"/>
      <c r="L206" s="34"/>
      <c r="O206" s="34"/>
    </row>
    <row r="207" spans="1:15" ht="16.5" customHeight="1">
      <c r="A207" s="5">
        <v>189</v>
      </c>
      <c r="B207" s="25">
        <v>48938</v>
      </c>
      <c r="C207" s="24">
        <v>190</v>
      </c>
      <c r="D207" s="6">
        <v>179801.02000000022</v>
      </c>
      <c r="E207" s="6">
        <v>1435.4</v>
      </c>
      <c r="F207" s="6">
        <v>746.16000000000008</v>
      </c>
      <c r="G207" s="6">
        <v>689.24</v>
      </c>
      <c r="H207" s="6">
        <v>0</v>
      </c>
      <c r="I207" s="6">
        <v>179054.86000000022</v>
      </c>
      <c r="K207" s="2"/>
      <c r="L207" s="34"/>
      <c r="O207" s="34"/>
    </row>
    <row r="208" spans="1:15" ht="16.5" customHeight="1">
      <c r="A208" s="5">
        <v>190</v>
      </c>
      <c r="B208" s="25">
        <v>48969</v>
      </c>
      <c r="C208" s="24">
        <v>191</v>
      </c>
      <c r="D208" s="6">
        <v>179054.86000000022</v>
      </c>
      <c r="E208" s="6">
        <v>1435.4</v>
      </c>
      <c r="F208" s="6">
        <v>749.0200000000001</v>
      </c>
      <c r="G208" s="6">
        <v>686.38</v>
      </c>
      <c r="H208" s="6">
        <v>0</v>
      </c>
      <c r="I208" s="6">
        <v>178305.84000000023</v>
      </c>
      <c r="K208" s="2"/>
      <c r="L208" s="34"/>
      <c r="O208" s="34"/>
    </row>
    <row r="209" spans="1:15" ht="16.5" customHeight="1">
      <c r="A209" s="5">
        <v>191</v>
      </c>
      <c r="B209" s="25">
        <v>49000</v>
      </c>
      <c r="C209" s="24">
        <v>192</v>
      </c>
      <c r="D209" s="6">
        <v>178305.84000000023</v>
      </c>
      <c r="E209" s="6">
        <v>1435.4</v>
      </c>
      <c r="F209" s="6">
        <v>751.8900000000001</v>
      </c>
      <c r="G209" s="6">
        <v>683.51</v>
      </c>
      <c r="H209" s="6">
        <v>0</v>
      </c>
      <c r="I209" s="6">
        <v>177553.95000000022</v>
      </c>
      <c r="K209" s="2"/>
      <c r="L209" s="34"/>
      <c r="O209" s="34"/>
    </row>
    <row r="210" spans="1:15" ht="16.5" customHeight="1">
      <c r="A210" s="5">
        <v>192</v>
      </c>
      <c r="B210" s="25">
        <v>49028</v>
      </c>
      <c r="C210" s="24">
        <v>193</v>
      </c>
      <c r="D210" s="6">
        <v>177553.95000000022</v>
      </c>
      <c r="E210" s="6">
        <v>1435.4</v>
      </c>
      <c r="F210" s="6">
        <v>754.78000000000009</v>
      </c>
      <c r="G210" s="6">
        <v>680.62</v>
      </c>
      <c r="H210" s="6">
        <v>0</v>
      </c>
      <c r="I210" s="6">
        <v>176799.17000000022</v>
      </c>
      <c r="K210" s="2"/>
      <c r="L210" s="34"/>
      <c r="O210" s="34"/>
    </row>
    <row r="211" spans="1:15" ht="16.5" customHeight="1">
      <c r="A211" s="5">
        <v>193</v>
      </c>
      <c r="B211" s="25">
        <v>49059</v>
      </c>
      <c r="C211" s="24">
        <v>194</v>
      </c>
      <c r="D211" s="6">
        <v>176799.17000000022</v>
      </c>
      <c r="E211" s="6">
        <v>1435.4</v>
      </c>
      <c r="F211" s="6">
        <v>757.67000000000007</v>
      </c>
      <c r="G211" s="6">
        <v>677.73</v>
      </c>
      <c r="H211" s="6">
        <v>0</v>
      </c>
      <c r="I211" s="6">
        <v>176041.5000000002</v>
      </c>
      <c r="K211" s="2"/>
      <c r="L211" s="34"/>
      <c r="O211" s="34"/>
    </row>
    <row r="212" spans="1:15" ht="16.5" customHeight="1">
      <c r="A212" s="5">
        <v>194</v>
      </c>
      <c r="B212" s="25">
        <v>49089</v>
      </c>
      <c r="C212" s="24">
        <v>195</v>
      </c>
      <c r="D212" s="6">
        <v>176041.5000000002</v>
      </c>
      <c r="E212" s="6">
        <v>1435.4</v>
      </c>
      <c r="F212" s="6">
        <v>760.57</v>
      </c>
      <c r="G212" s="6">
        <v>674.83</v>
      </c>
      <c r="H212" s="6">
        <v>0</v>
      </c>
      <c r="I212" s="6">
        <v>175280.9300000002</v>
      </c>
      <c r="K212" s="2"/>
      <c r="L212" s="34"/>
      <c r="O212" s="34"/>
    </row>
    <row r="213" spans="1:15" ht="16.5" customHeight="1">
      <c r="A213" s="5">
        <v>195</v>
      </c>
      <c r="B213" s="25">
        <v>49120</v>
      </c>
      <c r="C213" s="24">
        <v>196</v>
      </c>
      <c r="D213" s="6">
        <v>175280.9300000002</v>
      </c>
      <c r="E213" s="6">
        <v>1435.4</v>
      </c>
      <c r="F213" s="6">
        <v>763.49000000000012</v>
      </c>
      <c r="G213" s="6">
        <v>671.91</v>
      </c>
      <c r="H213" s="6">
        <v>0</v>
      </c>
      <c r="I213" s="6">
        <v>174517.44000000021</v>
      </c>
      <c r="K213" s="2"/>
      <c r="L213" s="34"/>
      <c r="O213" s="34"/>
    </row>
    <row r="214" spans="1:15" ht="16.5" customHeight="1">
      <c r="A214" s="5">
        <v>196</v>
      </c>
      <c r="B214" s="25">
        <v>49150</v>
      </c>
      <c r="C214" s="24">
        <v>197</v>
      </c>
      <c r="D214" s="6">
        <v>174517.44000000021</v>
      </c>
      <c r="E214" s="6">
        <v>1435.4</v>
      </c>
      <c r="F214" s="6">
        <v>766.42000000000007</v>
      </c>
      <c r="G214" s="6">
        <v>668.98</v>
      </c>
      <c r="H214" s="6">
        <v>0</v>
      </c>
      <c r="I214" s="6">
        <v>173751.02000000019</v>
      </c>
      <c r="K214" s="2"/>
      <c r="L214" s="34"/>
      <c r="O214" s="34"/>
    </row>
    <row r="215" spans="1:15" ht="16.5" customHeight="1">
      <c r="A215" s="5">
        <v>197</v>
      </c>
      <c r="B215" s="25">
        <v>49181</v>
      </c>
      <c r="C215" s="24">
        <v>198</v>
      </c>
      <c r="D215" s="6">
        <v>173751.02000000019</v>
      </c>
      <c r="E215" s="6">
        <v>1435.4</v>
      </c>
      <c r="F215" s="6">
        <v>769.35000000000014</v>
      </c>
      <c r="G215" s="6">
        <v>666.05</v>
      </c>
      <c r="H215" s="6">
        <v>0</v>
      </c>
      <c r="I215" s="6">
        <v>172981.67000000019</v>
      </c>
      <c r="K215" s="2"/>
      <c r="L215" s="34"/>
      <c r="O215" s="34"/>
    </row>
    <row r="216" spans="1:15" ht="16.5" customHeight="1">
      <c r="A216" s="5">
        <v>198</v>
      </c>
      <c r="B216" s="25">
        <v>49212</v>
      </c>
      <c r="C216" s="24">
        <v>199</v>
      </c>
      <c r="D216" s="6">
        <v>172981.67000000019</v>
      </c>
      <c r="E216" s="6">
        <v>1435.4</v>
      </c>
      <c r="F216" s="6">
        <v>772.30000000000007</v>
      </c>
      <c r="G216" s="6">
        <v>663.1</v>
      </c>
      <c r="H216" s="6">
        <v>0</v>
      </c>
      <c r="I216" s="6">
        <v>172209.3700000002</v>
      </c>
      <c r="K216" s="2"/>
      <c r="L216" s="34"/>
      <c r="O216" s="34"/>
    </row>
    <row r="217" spans="1:15" ht="16.5" customHeight="1">
      <c r="A217" s="5">
        <v>199</v>
      </c>
      <c r="B217" s="25">
        <v>49242</v>
      </c>
      <c r="C217" s="24">
        <v>200</v>
      </c>
      <c r="D217" s="6">
        <v>172209.3700000002</v>
      </c>
      <c r="E217" s="6">
        <v>1435.4</v>
      </c>
      <c r="F217" s="6">
        <v>775.2600000000001</v>
      </c>
      <c r="G217" s="6">
        <v>660.14</v>
      </c>
      <c r="H217" s="6">
        <v>0</v>
      </c>
      <c r="I217" s="6">
        <v>171434.11000000019</v>
      </c>
      <c r="K217" s="2"/>
      <c r="L217" s="34"/>
      <c r="O217" s="34"/>
    </row>
    <row r="218" spans="1:15" ht="16.5" customHeight="1">
      <c r="A218" s="5">
        <v>200</v>
      </c>
      <c r="B218" s="25">
        <v>49273</v>
      </c>
      <c r="C218" s="24">
        <v>201</v>
      </c>
      <c r="D218" s="6">
        <v>171434.11000000019</v>
      </c>
      <c r="E218" s="6">
        <v>1435.4</v>
      </c>
      <c r="F218" s="6">
        <v>778.24000000000012</v>
      </c>
      <c r="G218" s="6">
        <v>657.16</v>
      </c>
      <c r="H218" s="6">
        <v>0</v>
      </c>
      <c r="I218" s="6">
        <v>170655.8700000002</v>
      </c>
      <c r="K218" s="2"/>
      <c r="L218" s="34"/>
      <c r="O218" s="34"/>
    </row>
    <row r="219" spans="1:15" ht="16.5" customHeight="1">
      <c r="A219" s="5">
        <v>201</v>
      </c>
      <c r="B219" s="25">
        <v>49303</v>
      </c>
      <c r="C219" s="24">
        <v>202</v>
      </c>
      <c r="D219" s="6">
        <v>170655.8700000002</v>
      </c>
      <c r="E219" s="6">
        <v>1435.4</v>
      </c>
      <c r="F219" s="6">
        <v>781.22000000000014</v>
      </c>
      <c r="G219" s="6">
        <v>654.17999999999995</v>
      </c>
      <c r="H219" s="6">
        <v>0</v>
      </c>
      <c r="I219" s="6">
        <v>169874.6500000002</v>
      </c>
      <c r="K219" s="2"/>
      <c r="L219" s="34"/>
      <c r="O219" s="34"/>
    </row>
    <row r="220" spans="1:15" ht="16.5" customHeight="1">
      <c r="A220" s="5">
        <v>202</v>
      </c>
      <c r="B220" s="25">
        <v>49334</v>
      </c>
      <c r="C220" s="24">
        <v>203</v>
      </c>
      <c r="D220" s="6">
        <v>169874.6500000002</v>
      </c>
      <c r="E220" s="6">
        <v>1435.4</v>
      </c>
      <c r="F220" s="6">
        <v>784.21</v>
      </c>
      <c r="G220" s="6">
        <v>651.19000000000005</v>
      </c>
      <c r="H220" s="6">
        <v>0</v>
      </c>
      <c r="I220" s="6">
        <v>169090.44000000021</v>
      </c>
      <c r="K220" s="2"/>
      <c r="L220" s="34"/>
      <c r="O220" s="34"/>
    </row>
    <row r="221" spans="1:15" ht="16.5" customHeight="1">
      <c r="A221" s="5">
        <v>203</v>
      </c>
      <c r="B221" s="25">
        <v>49365</v>
      </c>
      <c r="C221" s="24">
        <v>204</v>
      </c>
      <c r="D221" s="6">
        <v>169090.44000000021</v>
      </c>
      <c r="E221" s="6">
        <v>1435.4</v>
      </c>
      <c r="F221" s="6">
        <v>787.22000000000014</v>
      </c>
      <c r="G221" s="6">
        <v>648.17999999999995</v>
      </c>
      <c r="H221" s="6">
        <v>0</v>
      </c>
      <c r="I221" s="6">
        <v>168303.2200000002</v>
      </c>
      <c r="K221" s="2"/>
      <c r="L221" s="34"/>
      <c r="O221" s="34"/>
    </row>
    <row r="222" spans="1:15" ht="16.5" customHeight="1">
      <c r="A222" s="5">
        <v>204</v>
      </c>
      <c r="B222" s="25">
        <v>49393</v>
      </c>
      <c r="C222" s="24">
        <v>205</v>
      </c>
      <c r="D222" s="6">
        <v>168303.2200000002</v>
      </c>
      <c r="E222" s="6">
        <v>1435.4</v>
      </c>
      <c r="F222" s="6">
        <v>790.24000000000012</v>
      </c>
      <c r="G222" s="6">
        <v>645.16</v>
      </c>
      <c r="H222" s="6">
        <v>0</v>
      </c>
      <c r="I222" s="6">
        <v>167512.98000000021</v>
      </c>
      <c r="K222" s="2"/>
      <c r="L222" s="34"/>
      <c r="O222" s="34"/>
    </row>
    <row r="223" spans="1:15" ht="16.5" customHeight="1">
      <c r="A223" s="5">
        <v>205</v>
      </c>
      <c r="B223" s="25">
        <v>49424</v>
      </c>
      <c r="C223" s="24">
        <v>206</v>
      </c>
      <c r="D223" s="6">
        <v>167512.98000000021</v>
      </c>
      <c r="E223" s="6">
        <v>1435.4</v>
      </c>
      <c r="F223" s="6">
        <v>793.2700000000001</v>
      </c>
      <c r="G223" s="6">
        <v>642.13</v>
      </c>
      <c r="H223" s="6">
        <v>0</v>
      </c>
      <c r="I223" s="6">
        <v>166719.71000000022</v>
      </c>
      <c r="K223" s="2"/>
      <c r="L223" s="34"/>
      <c r="O223" s="34"/>
    </row>
    <row r="224" spans="1:15" ht="16.5" customHeight="1">
      <c r="A224" s="5">
        <v>206</v>
      </c>
      <c r="B224" s="25">
        <v>49454</v>
      </c>
      <c r="C224" s="24">
        <v>207</v>
      </c>
      <c r="D224" s="6">
        <v>166719.71000000022</v>
      </c>
      <c r="E224" s="6">
        <v>1435.4</v>
      </c>
      <c r="F224" s="6">
        <v>796.31000000000006</v>
      </c>
      <c r="G224" s="6">
        <v>639.09</v>
      </c>
      <c r="H224" s="6">
        <v>0</v>
      </c>
      <c r="I224" s="6">
        <v>165923.40000000023</v>
      </c>
      <c r="K224" s="2"/>
      <c r="L224" s="34"/>
      <c r="O224" s="34"/>
    </row>
    <row r="225" spans="1:15" ht="16.5" customHeight="1">
      <c r="A225" s="5">
        <v>207</v>
      </c>
      <c r="B225" s="25">
        <v>49485</v>
      </c>
      <c r="C225" s="24">
        <v>208</v>
      </c>
      <c r="D225" s="6">
        <v>165923.40000000023</v>
      </c>
      <c r="E225" s="6">
        <v>1435.4</v>
      </c>
      <c r="F225" s="6">
        <v>799.36000000000013</v>
      </c>
      <c r="G225" s="6">
        <v>636.04</v>
      </c>
      <c r="H225" s="6">
        <v>0</v>
      </c>
      <c r="I225" s="6">
        <v>165124.04000000024</v>
      </c>
      <c r="K225" s="2"/>
      <c r="L225" s="34"/>
      <c r="O225" s="34"/>
    </row>
    <row r="226" spans="1:15" ht="16.5" customHeight="1">
      <c r="A226" s="5">
        <v>208</v>
      </c>
      <c r="B226" s="25">
        <v>49515</v>
      </c>
      <c r="C226" s="24">
        <v>209</v>
      </c>
      <c r="D226" s="6">
        <v>165124.04000000024</v>
      </c>
      <c r="E226" s="6">
        <v>1435.4</v>
      </c>
      <c r="F226" s="6">
        <v>802.42000000000007</v>
      </c>
      <c r="G226" s="6">
        <v>632.98</v>
      </c>
      <c r="H226" s="6">
        <v>0</v>
      </c>
      <c r="I226" s="6">
        <v>164321.62000000023</v>
      </c>
      <c r="K226" s="2"/>
      <c r="L226" s="34"/>
      <c r="O226" s="34"/>
    </row>
    <row r="227" spans="1:15" ht="16.5" customHeight="1">
      <c r="A227" s="5">
        <v>209</v>
      </c>
      <c r="B227" s="25">
        <v>49546</v>
      </c>
      <c r="C227" s="24">
        <v>210</v>
      </c>
      <c r="D227" s="6">
        <v>164321.62000000023</v>
      </c>
      <c r="E227" s="6">
        <v>1435.4</v>
      </c>
      <c r="F227" s="6">
        <v>805.50000000000011</v>
      </c>
      <c r="G227" s="6">
        <v>629.9</v>
      </c>
      <c r="H227" s="6">
        <v>0</v>
      </c>
      <c r="I227" s="6">
        <v>163516.12000000023</v>
      </c>
      <c r="K227" s="2"/>
      <c r="L227" s="34"/>
      <c r="O227" s="34"/>
    </row>
    <row r="228" spans="1:15" ht="16.5" customHeight="1">
      <c r="A228" s="5">
        <v>210</v>
      </c>
      <c r="B228" s="25">
        <v>49577</v>
      </c>
      <c r="C228" s="24">
        <v>211</v>
      </c>
      <c r="D228" s="6">
        <v>163516.12000000023</v>
      </c>
      <c r="E228" s="6">
        <v>1435.4</v>
      </c>
      <c r="F228" s="6">
        <v>808.59000000000015</v>
      </c>
      <c r="G228" s="6">
        <v>626.80999999999995</v>
      </c>
      <c r="H228" s="6">
        <v>0</v>
      </c>
      <c r="I228" s="6">
        <v>162707.53000000023</v>
      </c>
      <c r="K228" s="2"/>
      <c r="L228" s="34"/>
      <c r="O228" s="34"/>
    </row>
    <row r="229" spans="1:15" ht="16.5" customHeight="1">
      <c r="A229" s="5">
        <v>211</v>
      </c>
      <c r="B229" s="25">
        <v>49607</v>
      </c>
      <c r="C229" s="24">
        <v>212</v>
      </c>
      <c r="D229" s="6">
        <v>162707.53000000023</v>
      </c>
      <c r="E229" s="6">
        <v>1435.4</v>
      </c>
      <c r="F229" s="6">
        <v>811.69</v>
      </c>
      <c r="G229" s="6">
        <v>623.71</v>
      </c>
      <c r="H229" s="6">
        <v>0</v>
      </c>
      <c r="I229" s="6">
        <v>161895.84000000023</v>
      </c>
      <c r="K229" s="2"/>
      <c r="L229" s="34"/>
      <c r="O229" s="34"/>
    </row>
    <row r="230" spans="1:15" ht="16.5" customHeight="1">
      <c r="A230" s="5">
        <v>212</v>
      </c>
      <c r="B230" s="25">
        <v>49638</v>
      </c>
      <c r="C230" s="24">
        <v>213</v>
      </c>
      <c r="D230" s="6">
        <v>161895.84000000023</v>
      </c>
      <c r="E230" s="6">
        <v>1435.4</v>
      </c>
      <c r="F230" s="6">
        <v>814.80000000000007</v>
      </c>
      <c r="G230" s="6">
        <v>620.6</v>
      </c>
      <c r="H230" s="6">
        <v>0</v>
      </c>
      <c r="I230" s="6">
        <v>161081.04000000024</v>
      </c>
      <c r="K230" s="2"/>
      <c r="L230" s="34"/>
      <c r="O230" s="34"/>
    </row>
    <row r="231" spans="1:15" ht="16.5" customHeight="1">
      <c r="A231" s="5">
        <v>213</v>
      </c>
      <c r="B231" s="25">
        <v>49668</v>
      </c>
      <c r="C231" s="24">
        <v>214</v>
      </c>
      <c r="D231" s="6">
        <v>161081.04000000024</v>
      </c>
      <c r="E231" s="6">
        <v>1435.4</v>
      </c>
      <c r="F231" s="6">
        <v>817.92000000000007</v>
      </c>
      <c r="G231" s="6">
        <v>617.48</v>
      </c>
      <c r="H231" s="6">
        <v>0</v>
      </c>
      <c r="I231" s="6">
        <v>160263.12000000023</v>
      </c>
      <c r="K231" s="2"/>
      <c r="L231" s="34"/>
      <c r="O231" s="34"/>
    </row>
    <row r="232" spans="1:15" ht="16.5" customHeight="1">
      <c r="A232" s="5">
        <v>214</v>
      </c>
      <c r="B232" s="25">
        <v>49699</v>
      </c>
      <c r="C232" s="24">
        <v>215</v>
      </c>
      <c r="D232" s="6">
        <v>160263.12000000023</v>
      </c>
      <c r="E232" s="6">
        <v>1435.4</v>
      </c>
      <c r="F232" s="6">
        <v>821.06000000000006</v>
      </c>
      <c r="G232" s="6">
        <v>614.34</v>
      </c>
      <c r="H232" s="6">
        <v>0</v>
      </c>
      <c r="I232" s="6">
        <v>159442.06000000023</v>
      </c>
      <c r="K232" s="2"/>
      <c r="L232" s="34"/>
      <c r="O232" s="34"/>
    </row>
    <row r="233" spans="1:15" ht="16.5" customHeight="1">
      <c r="A233" s="5">
        <v>215</v>
      </c>
      <c r="B233" s="25">
        <v>49730</v>
      </c>
      <c r="C233" s="24">
        <v>216</v>
      </c>
      <c r="D233" s="6">
        <v>159442.06000000023</v>
      </c>
      <c r="E233" s="6">
        <v>1435.4</v>
      </c>
      <c r="F233" s="6">
        <v>824.21</v>
      </c>
      <c r="G233" s="6">
        <v>611.19000000000005</v>
      </c>
      <c r="H233" s="6">
        <v>0</v>
      </c>
      <c r="I233" s="6">
        <v>158617.85000000024</v>
      </c>
      <c r="K233" s="2"/>
      <c r="L233" s="34"/>
      <c r="O233" s="34"/>
    </row>
    <row r="234" spans="1:15" ht="16.5" customHeight="1">
      <c r="A234" s="5">
        <v>216</v>
      </c>
      <c r="B234" s="25">
        <v>49759</v>
      </c>
      <c r="C234" s="24">
        <v>217</v>
      </c>
      <c r="D234" s="6">
        <v>158617.85000000024</v>
      </c>
      <c r="E234" s="6">
        <v>1435.4</v>
      </c>
      <c r="F234" s="6">
        <v>827.36000000000013</v>
      </c>
      <c r="G234" s="6">
        <v>608.04</v>
      </c>
      <c r="H234" s="6">
        <v>0</v>
      </c>
      <c r="I234" s="6">
        <v>157790.49000000025</v>
      </c>
      <c r="K234" s="2"/>
      <c r="L234" s="34"/>
      <c r="O234" s="34"/>
    </row>
    <row r="235" spans="1:15" ht="16.5" customHeight="1">
      <c r="A235" s="5">
        <v>217</v>
      </c>
      <c r="B235" s="25">
        <v>49790</v>
      </c>
      <c r="C235" s="24">
        <v>218</v>
      </c>
      <c r="D235" s="6">
        <v>157790.49000000025</v>
      </c>
      <c r="E235" s="6">
        <v>1435.4</v>
      </c>
      <c r="F235" s="6">
        <v>830.54000000000008</v>
      </c>
      <c r="G235" s="6">
        <v>604.86</v>
      </c>
      <c r="H235" s="6">
        <v>0</v>
      </c>
      <c r="I235" s="6">
        <v>156959.95000000024</v>
      </c>
      <c r="K235" s="2"/>
      <c r="L235" s="34"/>
      <c r="O235" s="34"/>
    </row>
    <row r="236" spans="1:15" ht="16.5" customHeight="1">
      <c r="A236" s="5">
        <v>218</v>
      </c>
      <c r="B236" s="25">
        <v>49820</v>
      </c>
      <c r="C236" s="24">
        <v>219</v>
      </c>
      <c r="D236" s="6">
        <v>156959.95000000024</v>
      </c>
      <c r="E236" s="6">
        <v>1435.4</v>
      </c>
      <c r="F236" s="6">
        <v>833.72000000000014</v>
      </c>
      <c r="G236" s="6">
        <v>601.67999999999995</v>
      </c>
      <c r="H236" s="6">
        <v>0</v>
      </c>
      <c r="I236" s="6">
        <v>156126.23000000024</v>
      </c>
      <c r="K236" s="2"/>
      <c r="L236" s="34"/>
      <c r="O236" s="34"/>
    </row>
    <row r="237" spans="1:15" ht="16.5" customHeight="1">
      <c r="A237" s="5">
        <v>219</v>
      </c>
      <c r="B237" s="25">
        <v>49851</v>
      </c>
      <c r="C237" s="24">
        <v>220</v>
      </c>
      <c r="D237" s="6">
        <v>156126.23000000024</v>
      </c>
      <c r="E237" s="6">
        <v>1435.4</v>
      </c>
      <c r="F237" s="6">
        <v>836.92000000000007</v>
      </c>
      <c r="G237" s="6">
        <v>598.48</v>
      </c>
      <c r="H237" s="6">
        <v>0</v>
      </c>
      <c r="I237" s="6">
        <v>155289.31000000023</v>
      </c>
      <c r="K237" s="2"/>
      <c r="L237" s="34"/>
      <c r="O237" s="34"/>
    </row>
    <row r="238" spans="1:15" ht="16.5" customHeight="1">
      <c r="A238" s="5">
        <v>220</v>
      </c>
      <c r="B238" s="25">
        <v>49881</v>
      </c>
      <c r="C238" s="24">
        <v>221</v>
      </c>
      <c r="D238" s="6">
        <v>155289.31000000023</v>
      </c>
      <c r="E238" s="6">
        <v>1435.4</v>
      </c>
      <c r="F238" s="6">
        <v>840.12000000000012</v>
      </c>
      <c r="G238" s="6">
        <v>595.28</v>
      </c>
      <c r="H238" s="6">
        <v>0</v>
      </c>
      <c r="I238" s="6">
        <v>154449.19000000024</v>
      </c>
      <c r="K238" s="2"/>
      <c r="L238" s="34"/>
      <c r="O238" s="34"/>
    </row>
    <row r="239" spans="1:15" ht="16.5" customHeight="1">
      <c r="A239" s="5">
        <v>221</v>
      </c>
      <c r="B239" s="25">
        <v>49912</v>
      </c>
      <c r="C239" s="24">
        <v>222</v>
      </c>
      <c r="D239" s="6">
        <v>154449.19000000024</v>
      </c>
      <c r="E239" s="6">
        <v>1435.4</v>
      </c>
      <c r="F239" s="6">
        <v>843.34000000000015</v>
      </c>
      <c r="G239" s="6">
        <v>592.05999999999995</v>
      </c>
      <c r="H239" s="6">
        <v>0</v>
      </c>
      <c r="I239" s="6">
        <v>153605.85000000024</v>
      </c>
      <c r="K239" s="2"/>
      <c r="L239" s="34"/>
      <c r="O239" s="34"/>
    </row>
    <row r="240" spans="1:15" ht="16.5" customHeight="1">
      <c r="A240" s="5">
        <v>222</v>
      </c>
      <c r="B240" s="25">
        <v>49943</v>
      </c>
      <c r="C240" s="24">
        <v>223</v>
      </c>
      <c r="D240" s="6">
        <v>153605.85000000024</v>
      </c>
      <c r="E240" s="6">
        <v>1435.4</v>
      </c>
      <c r="F240" s="6">
        <v>846.58</v>
      </c>
      <c r="G240" s="6">
        <v>588.82000000000005</v>
      </c>
      <c r="H240" s="6">
        <v>0</v>
      </c>
      <c r="I240" s="6">
        <v>152759.27000000025</v>
      </c>
      <c r="K240" s="2"/>
      <c r="L240" s="34"/>
      <c r="O240" s="34"/>
    </row>
    <row r="241" spans="1:15" ht="16.5" customHeight="1">
      <c r="A241" s="5">
        <v>223</v>
      </c>
      <c r="B241" s="25">
        <v>49973</v>
      </c>
      <c r="C241" s="24">
        <v>224</v>
      </c>
      <c r="D241" s="6">
        <v>152759.27000000025</v>
      </c>
      <c r="E241" s="6">
        <v>1435.4</v>
      </c>
      <c r="F241" s="6">
        <v>849.82</v>
      </c>
      <c r="G241" s="6">
        <v>585.58000000000004</v>
      </c>
      <c r="H241" s="6">
        <v>0</v>
      </c>
      <c r="I241" s="6">
        <v>151909.45000000024</v>
      </c>
      <c r="K241" s="2"/>
      <c r="L241" s="34"/>
      <c r="O241" s="34"/>
    </row>
    <row r="242" spans="1:15" ht="16.5" customHeight="1">
      <c r="A242" s="5">
        <v>224</v>
      </c>
      <c r="B242" s="25">
        <v>50004</v>
      </c>
      <c r="C242" s="24">
        <v>225</v>
      </c>
      <c r="D242" s="6">
        <v>151909.45000000024</v>
      </c>
      <c r="E242" s="6">
        <v>1435.4</v>
      </c>
      <c r="F242" s="6">
        <v>853.08</v>
      </c>
      <c r="G242" s="6">
        <v>582.32000000000005</v>
      </c>
      <c r="H242" s="6">
        <v>0</v>
      </c>
      <c r="I242" s="6">
        <v>151056.37000000026</v>
      </c>
      <c r="K242" s="2"/>
      <c r="L242" s="34"/>
      <c r="O242" s="34"/>
    </row>
    <row r="243" spans="1:15" ht="16.5" customHeight="1">
      <c r="A243" s="5">
        <v>225</v>
      </c>
      <c r="B243" s="25">
        <v>50034</v>
      </c>
      <c r="C243" s="24">
        <v>226</v>
      </c>
      <c r="D243" s="6">
        <v>151056.37000000026</v>
      </c>
      <c r="E243" s="6">
        <v>1435.4</v>
      </c>
      <c r="F243" s="6">
        <v>856.35000000000014</v>
      </c>
      <c r="G243" s="6">
        <v>579.04999999999995</v>
      </c>
      <c r="H243" s="6">
        <v>0</v>
      </c>
      <c r="I243" s="6">
        <v>150200.02000000025</v>
      </c>
      <c r="K243" s="2"/>
      <c r="L243" s="34"/>
      <c r="O243" s="34"/>
    </row>
    <row r="244" spans="1:15" ht="16.5" customHeight="1">
      <c r="A244" s="5">
        <v>226</v>
      </c>
      <c r="B244" s="25">
        <v>50065</v>
      </c>
      <c r="C244" s="24">
        <v>227</v>
      </c>
      <c r="D244" s="6">
        <v>150200.02000000025</v>
      </c>
      <c r="E244" s="6">
        <v>1435.4</v>
      </c>
      <c r="F244" s="6">
        <v>859.63000000000011</v>
      </c>
      <c r="G244" s="6">
        <v>575.77</v>
      </c>
      <c r="H244" s="6">
        <v>0</v>
      </c>
      <c r="I244" s="6">
        <v>149340.39000000025</v>
      </c>
      <c r="K244" s="2"/>
      <c r="L244" s="34"/>
      <c r="O244" s="34"/>
    </row>
    <row r="245" spans="1:15" ht="16.5" customHeight="1">
      <c r="A245" s="5">
        <v>227</v>
      </c>
      <c r="B245" s="25">
        <v>50096</v>
      </c>
      <c r="C245" s="24">
        <v>228</v>
      </c>
      <c r="D245" s="6">
        <v>149340.39000000025</v>
      </c>
      <c r="E245" s="6">
        <v>1435.4</v>
      </c>
      <c r="F245" s="6">
        <v>862.93000000000006</v>
      </c>
      <c r="G245" s="6">
        <v>572.47</v>
      </c>
      <c r="H245" s="6">
        <v>0</v>
      </c>
      <c r="I245" s="6">
        <v>148477.46000000025</v>
      </c>
      <c r="K245" s="2"/>
      <c r="L245" s="34"/>
      <c r="O245" s="34"/>
    </row>
    <row r="246" spans="1:15" ht="16.5" customHeight="1">
      <c r="A246" s="5">
        <v>228</v>
      </c>
      <c r="B246" s="25">
        <v>50124</v>
      </c>
      <c r="C246" s="24">
        <v>229</v>
      </c>
      <c r="D246" s="6">
        <v>148477.46000000025</v>
      </c>
      <c r="E246" s="6">
        <v>1435.4</v>
      </c>
      <c r="F246" s="6">
        <v>866.24000000000012</v>
      </c>
      <c r="G246" s="6">
        <v>569.16</v>
      </c>
      <c r="H246" s="6">
        <v>0</v>
      </c>
      <c r="I246" s="6">
        <v>147611.22000000026</v>
      </c>
      <c r="K246" s="2"/>
      <c r="L246" s="34"/>
      <c r="O246" s="34"/>
    </row>
    <row r="247" spans="1:15" ht="16.5" customHeight="1">
      <c r="A247" s="5">
        <v>229</v>
      </c>
      <c r="B247" s="25">
        <v>50155</v>
      </c>
      <c r="C247" s="24">
        <v>230</v>
      </c>
      <c r="D247" s="6">
        <v>147611.22000000026</v>
      </c>
      <c r="E247" s="6">
        <v>1435.4</v>
      </c>
      <c r="F247" s="6">
        <v>869.56000000000006</v>
      </c>
      <c r="G247" s="6">
        <v>565.84</v>
      </c>
      <c r="H247" s="6">
        <v>0</v>
      </c>
      <c r="I247" s="6">
        <v>146741.66000000027</v>
      </c>
      <c r="K247" s="2"/>
      <c r="L247" s="34"/>
      <c r="O247" s="34"/>
    </row>
    <row r="248" spans="1:15" ht="16.5" customHeight="1">
      <c r="A248" s="5">
        <v>230</v>
      </c>
      <c r="B248" s="25">
        <v>50185</v>
      </c>
      <c r="C248" s="24">
        <v>231</v>
      </c>
      <c r="D248" s="6">
        <v>146741.66000000027</v>
      </c>
      <c r="E248" s="6">
        <v>1435.4</v>
      </c>
      <c r="F248" s="6">
        <v>872.8900000000001</v>
      </c>
      <c r="G248" s="6">
        <v>562.51</v>
      </c>
      <c r="H248" s="6">
        <v>0</v>
      </c>
      <c r="I248" s="6">
        <v>145868.77000000025</v>
      </c>
      <c r="K248" s="2"/>
      <c r="L248" s="34"/>
      <c r="O248" s="34"/>
    </row>
    <row r="249" spans="1:15" ht="16.5" customHeight="1">
      <c r="A249" s="5">
        <v>231</v>
      </c>
      <c r="B249" s="25">
        <v>50216</v>
      </c>
      <c r="C249" s="24">
        <v>232</v>
      </c>
      <c r="D249" s="6">
        <v>145868.77000000025</v>
      </c>
      <c r="E249" s="6">
        <v>1435.4</v>
      </c>
      <c r="F249" s="6">
        <v>876.24000000000012</v>
      </c>
      <c r="G249" s="6">
        <v>559.16</v>
      </c>
      <c r="H249" s="6">
        <v>0</v>
      </c>
      <c r="I249" s="6">
        <v>144992.53000000026</v>
      </c>
      <c r="K249" s="2"/>
      <c r="L249" s="34"/>
      <c r="O249" s="34"/>
    </row>
    <row r="250" spans="1:15" ht="16.5" customHeight="1">
      <c r="A250" s="5">
        <v>232</v>
      </c>
      <c r="B250" s="25">
        <v>50246</v>
      </c>
      <c r="C250" s="24">
        <v>233</v>
      </c>
      <c r="D250" s="6">
        <v>144992.53000000026</v>
      </c>
      <c r="E250" s="6">
        <v>1435.4</v>
      </c>
      <c r="F250" s="6">
        <v>879.60000000000014</v>
      </c>
      <c r="G250" s="6">
        <v>555.79999999999995</v>
      </c>
      <c r="H250" s="6">
        <v>0</v>
      </c>
      <c r="I250" s="6">
        <v>144112.93000000025</v>
      </c>
      <c r="K250" s="2"/>
      <c r="L250" s="34"/>
      <c r="O250" s="34"/>
    </row>
    <row r="251" spans="1:15" ht="16.5" customHeight="1">
      <c r="A251" s="5">
        <v>233</v>
      </c>
      <c r="B251" s="25">
        <v>50277</v>
      </c>
      <c r="C251" s="24">
        <v>234</v>
      </c>
      <c r="D251" s="6">
        <v>144112.93000000025</v>
      </c>
      <c r="E251" s="6">
        <v>1435.4</v>
      </c>
      <c r="F251" s="6">
        <v>882.97000000000014</v>
      </c>
      <c r="G251" s="6">
        <v>552.42999999999995</v>
      </c>
      <c r="H251" s="6">
        <v>0</v>
      </c>
      <c r="I251" s="6">
        <v>143229.96000000025</v>
      </c>
      <c r="K251" s="2"/>
      <c r="L251" s="34"/>
      <c r="O251" s="34"/>
    </row>
    <row r="252" spans="1:15" ht="16.5" customHeight="1">
      <c r="A252" s="5">
        <v>234</v>
      </c>
      <c r="B252" s="25">
        <v>50308</v>
      </c>
      <c r="C252" s="24">
        <v>235</v>
      </c>
      <c r="D252" s="6">
        <v>143229.96000000025</v>
      </c>
      <c r="E252" s="6">
        <v>1435.4</v>
      </c>
      <c r="F252" s="6">
        <v>886.35000000000014</v>
      </c>
      <c r="G252" s="6">
        <v>549.04999999999995</v>
      </c>
      <c r="H252" s="6">
        <v>0</v>
      </c>
      <c r="I252" s="6">
        <v>142343.61000000025</v>
      </c>
      <c r="K252" s="2"/>
      <c r="L252" s="34"/>
      <c r="O252" s="34"/>
    </row>
    <row r="253" spans="1:15" ht="16.5" customHeight="1">
      <c r="A253" s="5">
        <v>235</v>
      </c>
      <c r="B253" s="25">
        <v>50338</v>
      </c>
      <c r="C253" s="24">
        <v>236</v>
      </c>
      <c r="D253" s="6">
        <v>142343.61000000025</v>
      </c>
      <c r="E253" s="6">
        <v>1435.4</v>
      </c>
      <c r="F253" s="6">
        <v>889.75000000000011</v>
      </c>
      <c r="G253" s="6">
        <v>545.65</v>
      </c>
      <c r="H253" s="6">
        <v>0</v>
      </c>
      <c r="I253" s="6">
        <v>141453.86000000025</v>
      </c>
      <c r="K253" s="2"/>
      <c r="L253" s="34"/>
      <c r="O253" s="34"/>
    </row>
    <row r="254" spans="1:15" ht="16.5" customHeight="1">
      <c r="A254" s="5">
        <v>236</v>
      </c>
      <c r="B254" s="25">
        <v>50369</v>
      </c>
      <c r="C254" s="24">
        <v>237</v>
      </c>
      <c r="D254" s="6">
        <v>141453.86000000025</v>
      </c>
      <c r="E254" s="6">
        <v>1435.4</v>
      </c>
      <c r="F254" s="6">
        <v>893.16000000000008</v>
      </c>
      <c r="G254" s="6">
        <v>542.24</v>
      </c>
      <c r="H254" s="6">
        <v>0</v>
      </c>
      <c r="I254" s="6">
        <v>140560.70000000024</v>
      </c>
      <c r="K254" s="2"/>
      <c r="L254" s="34"/>
      <c r="O254" s="34"/>
    </row>
    <row r="255" spans="1:15" ht="16.5" customHeight="1">
      <c r="A255" s="5">
        <v>237</v>
      </c>
      <c r="B255" s="25">
        <v>50399</v>
      </c>
      <c r="C255" s="24">
        <v>238</v>
      </c>
      <c r="D255" s="6">
        <v>140560.70000000024</v>
      </c>
      <c r="E255" s="6">
        <v>1435.4</v>
      </c>
      <c r="F255" s="6">
        <v>896.58</v>
      </c>
      <c r="G255" s="6">
        <v>538.82000000000005</v>
      </c>
      <c r="H255" s="6">
        <v>0</v>
      </c>
      <c r="I255" s="6">
        <v>139664.12000000026</v>
      </c>
      <c r="K255" s="2"/>
      <c r="L255" s="34"/>
      <c r="O255" s="34"/>
    </row>
    <row r="256" spans="1:15" ht="16.5" customHeight="1">
      <c r="A256" s="5">
        <v>238</v>
      </c>
      <c r="B256" s="25">
        <v>50430</v>
      </c>
      <c r="C256" s="24">
        <v>239</v>
      </c>
      <c r="D256" s="6">
        <v>139664.12000000026</v>
      </c>
      <c r="E256" s="6">
        <v>1435.4</v>
      </c>
      <c r="F256" s="6">
        <v>900.0200000000001</v>
      </c>
      <c r="G256" s="6">
        <v>535.38</v>
      </c>
      <c r="H256" s="6">
        <v>0</v>
      </c>
      <c r="I256" s="6">
        <v>138764.10000000027</v>
      </c>
      <c r="K256" s="2"/>
      <c r="L256" s="34"/>
      <c r="O256" s="34"/>
    </row>
    <row r="257" spans="1:15" ht="16.5" customHeight="1">
      <c r="A257" s="5">
        <v>239</v>
      </c>
      <c r="B257" s="25">
        <v>50461</v>
      </c>
      <c r="C257" s="24">
        <v>240</v>
      </c>
      <c r="D257" s="6">
        <v>138764.10000000027</v>
      </c>
      <c r="E257" s="6">
        <v>1435.4</v>
      </c>
      <c r="F257" s="6">
        <v>903.47000000000014</v>
      </c>
      <c r="G257" s="6">
        <v>531.92999999999995</v>
      </c>
      <c r="H257" s="6">
        <v>0</v>
      </c>
      <c r="I257" s="6">
        <v>137860.63000000027</v>
      </c>
      <c r="K257" s="2"/>
      <c r="L257" s="34"/>
      <c r="O257" s="34"/>
    </row>
    <row r="258" spans="1:15" ht="16.5" customHeight="1">
      <c r="A258" s="5">
        <v>240</v>
      </c>
      <c r="B258" s="25">
        <v>50489</v>
      </c>
      <c r="C258" s="24">
        <v>241</v>
      </c>
      <c r="D258" s="6">
        <v>137860.63000000027</v>
      </c>
      <c r="E258" s="6">
        <v>1435.4</v>
      </c>
      <c r="F258" s="6">
        <v>906.93000000000006</v>
      </c>
      <c r="G258" s="6">
        <v>528.47</v>
      </c>
      <c r="H258" s="6">
        <v>0</v>
      </c>
      <c r="I258" s="6">
        <v>136953.70000000027</v>
      </c>
      <c r="K258" s="2"/>
      <c r="L258" s="34"/>
      <c r="O258" s="34"/>
    </row>
    <row r="259" spans="1:15" ht="16.5" customHeight="1">
      <c r="A259" s="5">
        <v>241</v>
      </c>
      <c r="B259" s="25">
        <v>50520</v>
      </c>
      <c r="C259" s="24">
        <v>242</v>
      </c>
      <c r="D259" s="6">
        <v>136953.70000000027</v>
      </c>
      <c r="E259" s="6">
        <v>1435.4</v>
      </c>
      <c r="F259" s="6">
        <v>910.41000000000008</v>
      </c>
      <c r="G259" s="6">
        <v>524.99</v>
      </c>
      <c r="H259" s="6">
        <v>0</v>
      </c>
      <c r="I259" s="6">
        <v>136043.29000000027</v>
      </c>
      <c r="K259" s="2"/>
      <c r="L259" s="34"/>
      <c r="O259" s="34"/>
    </row>
    <row r="260" spans="1:15" ht="16.5" customHeight="1">
      <c r="A260" s="5">
        <v>242</v>
      </c>
      <c r="B260" s="25">
        <v>50550</v>
      </c>
      <c r="C260" s="24">
        <v>243</v>
      </c>
      <c r="D260" s="6">
        <v>136043.29000000027</v>
      </c>
      <c r="E260" s="6">
        <v>1435.4</v>
      </c>
      <c r="F260" s="6">
        <v>913.90000000000009</v>
      </c>
      <c r="G260" s="6">
        <v>521.5</v>
      </c>
      <c r="H260" s="6">
        <v>0</v>
      </c>
      <c r="I260" s="6">
        <v>135129.39000000028</v>
      </c>
      <c r="K260" s="2"/>
      <c r="L260" s="34"/>
      <c r="O260" s="34"/>
    </row>
    <row r="261" spans="1:15" ht="16.5" customHeight="1">
      <c r="A261" s="5">
        <v>243</v>
      </c>
      <c r="B261" s="25">
        <v>50581</v>
      </c>
      <c r="C261" s="24">
        <v>244</v>
      </c>
      <c r="D261" s="6">
        <v>135129.39000000028</v>
      </c>
      <c r="E261" s="6">
        <v>1435.4</v>
      </c>
      <c r="F261" s="6">
        <v>917.40000000000009</v>
      </c>
      <c r="G261" s="6">
        <v>518</v>
      </c>
      <c r="H261" s="6">
        <v>0</v>
      </c>
      <c r="I261" s="6">
        <v>134211.99000000028</v>
      </c>
      <c r="K261" s="2"/>
      <c r="L261" s="34"/>
      <c r="O261" s="34"/>
    </row>
    <row r="262" spans="1:15" ht="16.5" customHeight="1">
      <c r="A262" s="5">
        <v>244</v>
      </c>
      <c r="B262" s="25">
        <v>50611</v>
      </c>
      <c r="C262" s="24">
        <v>245</v>
      </c>
      <c r="D262" s="6">
        <v>134211.99000000028</v>
      </c>
      <c r="E262" s="6">
        <v>1435.4</v>
      </c>
      <c r="F262" s="6">
        <v>920.92000000000007</v>
      </c>
      <c r="G262" s="6">
        <v>514.48</v>
      </c>
      <c r="H262" s="6">
        <v>0</v>
      </c>
      <c r="I262" s="6">
        <v>133291.07000000027</v>
      </c>
      <c r="K262" s="2"/>
      <c r="L262" s="34"/>
      <c r="O262" s="34"/>
    </row>
    <row r="263" spans="1:15" ht="16.5" customHeight="1">
      <c r="A263" s="5">
        <v>245</v>
      </c>
      <c r="B263" s="25">
        <v>50642</v>
      </c>
      <c r="C263" s="24">
        <v>246</v>
      </c>
      <c r="D263" s="6">
        <v>133291.07000000027</v>
      </c>
      <c r="E263" s="6">
        <v>1435.4</v>
      </c>
      <c r="F263" s="6">
        <v>924.45</v>
      </c>
      <c r="G263" s="6">
        <v>510.95</v>
      </c>
      <c r="H263" s="6">
        <v>0</v>
      </c>
      <c r="I263" s="6">
        <v>132366.62000000026</v>
      </c>
      <c r="K263" s="2"/>
      <c r="L263" s="34"/>
      <c r="O263" s="34"/>
    </row>
    <row r="264" spans="1:15" ht="16.5" customHeight="1">
      <c r="A264" s="5">
        <v>246</v>
      </c>
      <c r="B264" s="25">
        <v>50673</v>
      </c>
      <c r="C264" s="24">
        <v>247</v>
      </c>
      <c r="D264" s="6">
        <v>132366.62000000026</v>
      </c>
      <c r="E264" s="6">
        <v>1435.4</v>
      </c>
      <c r="F264" s="6">
        <v>927.99</v>
      </c>
      <c r="G264" s="6">
        <v>507.41</v>
      </c>
      <c r="H264" s="6">
        <v>0</v>
      </c>
      <c r="I264" s="6">
        <v>131438.63000000027</v>
      </c>
      <c r="K264" s="2"/>
      <c r="L264" s="34"/>
      <c r="O264" s="34"/>
    </row>
    <row r="265" spans="1:15" ht="16.5" customHeight="1">
      <c r="A265" s="5">
        <v>247</v>
      </c>
      <c r="B265" s="25">
        <v>50703</v>
      </c>
      <c r="C265" s="24">
        <v>248</v>
      </c>
      <c r="D265" s="6">
        <v>131438.63000000027</v>
      </c>
      <c r="E265" s="6">
        <v>1435.4</v>
      </c>
      <c r="F265" s="6">
        <v>931.55000000000007</v>
      </c>
      <c r="G265" s="6">
        <v>503.85</v>
      </c>
      <c r="H265" s="6">
        <v>0</v>
      </c>
      <c r="I265" s="6">
        <v>130507.08000000026</v>
      </c>
      <c r="K265" s="2"/>
      <c r="L265" s="34"/>
      <c r="O265" s="34"/>
    </row>
    <row r="266" spans="1:15" ht="16.5" customHeight="1">
      <c r="A266" s="5">
        <v>248</v>
      </c>
      <c r="B266" s="25">
        <v>50734</v>
      </c>
      <c r="C266" s="24">
        <v>249</v>
      </c>
      <c r="D266" s="6">
        <v>130507.08000000026</v>
      </c>
      <c r="E266" s="6">
        <v>1435.4</v>
      </c>
      <c r="F266" s="6">
        <v>935.12000000000012</v>
      </c>
      <c r="G266" s="6">
        <v>500.28</v>
      </c>
      <c r="H266" s="6">
        <v>0</v>
      </c>
      <c r="I266" s="6">
        <v>129571.96000000027</v>
      </c>
      <c r="K266" s="2"/>
      <c r="L266" s="34"/>
      <c r="O266" s="34"/>
    </row>
    <row r="267" spans="1:15" ht="16.5" customHeight="1">
      <c r="A267" s="5">
        <v>249</v>
      </c>
      <c r="B267" s="25">
        <v>50764</v>
      </c>
      <c r="C267" s="24">
        <v>250</v>
      </c>
      <c r="D267" s="6">
        <v>129571.96000000027</v>
      </c>
      <c r="E267" s="6">
        <v>1435.4</v>
      </c>
      <c r="F267" s="6">
        <v>938.71</v>
      </c>
      <c r="G267" s="6">
        <v>496.69</v>
      </c>
      <c r="H267" s="6">
        <v>0</v>
      </c>
      <c r="I267" s="6">
        <v>128633.25000000026</v>
      </c>
      <c r="K267" s="2"/>
      <c r="L267" s="34"/>
      <c r="O267" s="34"/>
    </row>
    <row r="268" spans="1:15">
      <c r="A268" s="5">
        <v>250</v>
      </c>
      <c r="B268" s="25">
        <v>50795</v>
      </c>
      <c r="C268" s="24">
        <v>251</v>
      </c>
      <c r="D268" s="6">
        <v>128633.25000000026</v>
      </c>
      <c r="E268" s="6">
        <v>1435.4</v>
      </c>
      <c r="F268" s="6">
        <v>942.31000000000017</v>
      </c>
      <c r="G268" s="6">
        <v>493.09</v>
      </c>
      <c r="H268" s="6">
        <v>0</v>
      </c>
      <c r="I268" s="6">
        <v>127690.94000000026</v>
      </c>
      <c r="K268" s="2"/>
      <c r="L268" s="34"/>
      <c r="O268" s="34"/>
    </row>
    <row r="269" spans="1:15">
      <c r="A269" s="5">
        <v>251</v>
      </c>
      <c r="B269" s="25">
        <v>50826</v>
      </c>
      <c r="C269" s="24">
        <v>252</v>
      </c>
      <c r="D269" s="6">
        <v>127690.94000000026</v>
      </c>
      <c r="E269" s="6">
        <v>1435.4</v>
      </c>
      <c r="F269" s="6">
        <v>945.92000000000007</v>
      </c>
      <c r="G269" s="6">
        <v>489.48</v>
      </c>
      <c r="H269" s="6">
        <v>0</v>
      </c>
      <c r="I269" s="6">
        <v>126745.02000000027</v>
      </c>
      <c r="K269" s="2"/>
      <c r="L269" s="34"/>
      <c r="O269" s="34"/>
    </row>
    <row r="270" spans="1:15">
      <c r="A270" s="5">
        <v>252</v>
      </c>
      <c r="B270" s="25">
        <v>50854</v>
      </c>
      <c r="C270" s="24">
        <v>253</v>
      </c>
      <c r="D270" s="6">
        <v>126745.02000000027</v>
      </c>
      <c r="E270" s="6">
        <v>1435.4</v>
      </c>
      <c r="F270" s="6">
        <v>949.54000000000008</v>
      </c>
      <c r="G270" s="6">
        <v>485.86</v>
      </c>
      <c r="H270" s="6">
        <v>0</v>
      </c>
      <c r="I270" s="6">
        <v>125795.48000000027</v>
      </c>
      <c r="K270" s="2"/>
      <c r="L270" s="34"/>
      <c r="O270" s="34"/>
    </row>
    <row r="271" spans="1:15">
      <c r="A271" s="5">
        <v>253</v>
      </c>
      <c r="B271" s="25">
        <v>50885</v>
      </c>
      <c r="C271" s="24">
        <v>254</v>
      </c>
      <c r="D271" s="6">
        <v>125795.48000000027</v>
      </c>
      <c r="E271" s="6">
        <v>1435.4</v>
      </c>
      <c r="F271" s="6">
        <v>953.18000000000006</v>
      </c>
      <c r="G271" s="6">
        <v>482.22</v>
      </c>
      <c r="H271" s="6">
        <v>0</v>
      </c>
      <c r="I271" s="6">
        <v>124842.30000000028</v>
      </c>
      <c r="K271" s="2"/>
      <c r="L271" s="34"/>
      <c r="O271" s="34"/>
    </row>
    <row r="272" spans="1:15">
      <c r="A272" s="5">
        <v>254</v>
      </c>
      <c r="B272" s="25">
        <v>50915</v>
      </c>
      <c r="C272" s="24">
        <v>255</v>
      </c>
      <c r="D272" s="6">
        <v>124842.30000000028</v>
      </c>
      <c r="E272" s="6">
        <v>1435.4</v>
      </c>
      <c r="F272" s="6">
        <v>956.84000000000015</v>
      </c>
      <c r="G272" s="6">
        <v>478.56</v>
      </c>
      <c r="H272" s="6">
        <v>0</v>
      </c>
      <c r="I272" s="6">
        <v>123885.46000000028</v>
      </c>
      <c r="K272" s="2"/>
      <c r="L272" s="34"/>
      <c r="O272" s="34"/>
    </row>
    <row r="273" spans="1:15">
      <c r="A273" s="5">
        <v>255</v>
      </c>
      <c r="B273" s="25">
        <v>50946</v>
      </c>
      <c r="C273" s="24">
        <v>256</v>
      </c>
      <c r="D273" s="6">
        <v>123885.46000000028</v>
      </c>
      <c r="E273" s="6">
        <v>1435.4</v>
      </c>
      <c r="F273" s="6">
        <v>960.5100000000001</v>
      </c>
      <c r="G273" s="6">
        <v>474.89</v>
      </c>
      <c r="H273" s="6">
        <v>0</v>
      </c>
      <c r="I273" s="6">
        <v>122924.95000000029</v>
      </c>
      <c r="K273" s="2"/>
      <c r="L273" s="34"/>
      <c r="O273" s="34"/>
    </row>
    <row r="274" spans="1:15">
      <c r="A274" s="5">
        <v>256</v>
      </c>
      <c r="B274" s="25">
        <v>50976</v>
      </c>
      <c r="C274" s="24">
        <v>257</v>
      </c>
      <c r="D274" s="6">
        <v>122924.95000000029</v>
      </c>
      <c r="E274" s="6">
        <v>1435.4</v>
      </c>
      <c r="F274" s="6">
        <v>964.19</v>
      </c>
      <c r="G274" s="6">
        <v>471.21</v>
      </c>
      <c r="H274" s="6">
        <v>0</v>
      </c>
      <c r="I274" s="6">
        <v>121960.76000000029</v>
      </c>
      <c r="K274" s="2"/>
      <c r="L274" s="34"/>
      <c r="O274" s="34"/>
    </row>
    <row r="275" spans="1:15">
      <c r="A275" s="5">
        <v>257</v>
      </c>
      <c r="B275" s="25">
        <v>51007</v>
      </c>
      <c r="C275" s="24">
        <v>258</v>
      </c>
      <c r="D275" s="6">
        <v>121960.76000000029</v>
      </c>
      <c r="E275" s="6">
        <v>1435.4</v>
      </c>
      <c r="F275" s="6">
        <v>967.88000000000011</v>
      </c>
      <c r="G275" s="6">
        <v>467.52</v>
      </c>
      <c r="H275" s="6">
        <v>0</v>
      </c>
      <c r="I275" s="6">
        <v>120992.88000000028</v>
      </c>
      <c r="K275" s="2"/>
      <c r="L275" s="34"/>
      <c r="O275" s="34"/>
    </row>
    <row r="276" spans="1:15">
      <c r="A276" s="5">
        <v>258</v>
      </c>
      <c r="B276" s="25">
        <v>51038</v>
      </c>
      <c r="C276" s="24">
        <v>259</v>
      </c>
      <c r="D276" s="6">
        <v>120992.88000000028</v>
      </c>
      <c r="E276" s="6">
        <v>1435.4</v>
      </c>
      <c r="F276" s="6">
        <v>971.59000000000015</v>
      </c>
      <c r="G276" s="6">
        <v>463.81</v>
      </c>
      <c r="H276" s="6">
        <v>0</v>
      </c>
      <c r="I276" s="6">
        <v>120021.29000000028</v>
      </c>
      <c r="K276" s="2"/>
      <c r="L276" s="34"/>
      <c r="O276" s="34"/>
    </row>
    <row r="277" spans="1:15">
      <c r="A277" s="5">
        <v>259</v>
      </c>
      <c r="B277" s="25">
        <v>51068</v>
      </c>
      <c r="C277" s="24">
        <v>260</v>
      </c>
      <c r="D277" s="6">
        <v>120021.29000000028</v>
      </c>
      <c r="E277" s="6">
        <v>1435.4</v>
      </c>
      <c r="F277" s="6">
        <v>975.32000000000016</v>
      </c>
      <c r="G277" s="6">
        <v>460.08</v>
      </c>
      <c r="H277" s="6">
        <v>0</v>
      </c>
      <c r="I277" s="6">
        <v>119045.97000000028</v>
      </c>
      <c r="K277" s="2"/>
      <c r="L277" s="34"/>
      <c r="O277" s="34"/>
    </row>
    <row r="278" spans="1:15">
      <c r="A278" s="5">
        <v>260</v>
      </c>
      <c r="B278" s="25">
        <v>51099</v>
      </c>
      <c r="C278" s="24">
        <v>261</v>
      </c>
      <c r="D278" s="6">
        <v>119045.97000000028</v>
      </c>
      <c r="E278" s="6">
        <v>1435.4</v>
      </c>
      <c r="F278" s="6">
        <v>979.06000000000017</v>
      </c>
      <c r="G278" s="6">
        <v>456.34</v>
      </c>
      <c r="H278" s="6">
        <v>0</v>
      </c>
      <c r="I278" s="6">
        <v>118066.91000000028</v>
      </c>
      <c r="K278" s="2"/>
      <c r="L278" s="34"/>
      <c r="O278" s="34"/>
    </row>
    <row r="279" spans="1:15">
      <c r="A279" s="5">
        <v>261</v>
      </c>
      <c r="B279" s="25">
        <v>51129</v>
      </c>
      <c r="C279" s="24">
        <v>262</v>
      </c>
      <c r="D279" s="6">
        <v>118066.91000000028</v>
      </c>
      <c r="E279" s="6">
        <v>1435.4</v>
      </c>
      <c r="F279" s="6">
        <v>982.81000000000017</v>
      </c>
      <c r="G279" s="6">
        <v>452.59</v>
      </c>
      <c r="H279" s="6">
        <v>0</v>
      </c>
      <c r="I279" s="6">
        <v>117084.10000000028</v>
      </c>
      <c r="K279" s="2"/>
      <c r="L279" s="34"/>
      <c r="O279" s="34"/>
    </row>
    <row r="280" spans="1:15">
      <c r="A280" s="5">
        <v>262</v>
      </c>
      <c r="B280" s="25">
        <v>51160</v>
      </c>
      <c r="C280" s="24">
        <v>263</v>
      </c>
      <c r="D280" s="6">
        <v>117084.10000000028</v>
      </c>
      <c r="E280" s="6">
        <v>1435.4</v>
      </c>
      <c r="F280" s="6">
        <v>986.58000000000015</v>
      </c>
      <c r="G280" s="6">
        <v>448.82</v>
      </c>
      <c r="H280" s="6">
        <v>0</v>
      </c>
      <c r="I280" s="6">
        <v>116097.52000000028</v>
      </c>
      <c r="K280" s="2"/>
      <c r="L280" s="34"/>
      <c r="O280" s="34"/>
    </row>
    <row r="281" spans="1:15">
      <c r="A281" s="5">
        <v>263</v>
      </c>
      <c r="B281" s="25">
        <v>51191</v>
      </c>
      <c r="C281" s="24">
        <v>264</v>
      </c>
      <c r="D281" s="6">
        <v>116097.52000000028</v>
      </c>
      <c r="E281" s="6">
        <v>1435.4</v>
      </c>
      <c r="F281" s="6">
        <v>990.36000000000013</v>
      </c>
      <c r="G281" s="6">
        <v>445.04</v>
      </c>
      <c r="H281" s="6">
        <v>0</v>
      </c>
      <c r="I281" s="6">
        <v>115107.16000000028</v>
      </c>
      <c r="K281" s="2"/>
      <c r="L281" s="34"/>
      <c r="O281" s="34"/>
    </row>
    <row r="282" spans="1:15">
      <c r="A282" s="5">
        <v>264</v>
      </c>
      <c r="B282" s="25">
        <v>51220</v>
      </c>
      <c r="C282" s="24">
        <v>265</v>
      </c>
      <c r="D282" s="6">
        <v>115107.16000000028</v>
      </c>
      <c r="E282" s="6">
        <v>1435.4</v>
      </c>
      <c r="F282" s="6">
        <v>994.16000000000008</v>
      </c>
      <c r="G282" s="6">
        <v>441.24</v>
      </c>
      <c r="H282" s="6">
        <v>0</v>
      </c>
      <c r="I282" s="6">
        <v>114113.00000000028</v>
      </c>
      <c r="K282" s="2"/>
      <c r="L282" s="34"/>
      <c r="O282" s="34"/>
    </row>
    <row r="283" spans="1:15">
      <c r="A283" s="5">
        <v>265</v>
      </c>
      <c r="B283" s="25">
        <v>51251</v>
      </c>
      <c r="C283" s="24">
        <v>266</v>
      </c>
      <c r="D283" s="6">
        <v>114113.00000000028</v>
      </c>
      <c r="E283" s="6">
        <v>1435.4</v>
      </c>
      <c r="F283" s="6">
        <v>997.97</v>
      </c>
      <c r="G283" s="6">
        <v>437.43</v>
      </c>
      <c r="H283" s="6">
        <v>0</v>
      </c>
      <c r="I283" s="6">
        <v>113115.03000000028</v>
      </c>
      <c r="K283" s="2"/>
      <c r="L283" s="34"/>
      <c r="O283" s="34"/>
    </row>
    <row r="284" spans="1:15">
      <c r="A284" s="5">
        <v>266</v>
      </c>
      <c r="B284" s="25">
        <v>51281</v>
      </c>
      <c r="C284" s="24">
        <v>267</v>
      </c>
      <c r="D284" s="6">
        <v>113115.03000000028</v>
      </c>
      <c r="E284" s="6">
        <v>1435.4</v>
      </c>
      <c r="F284" s="6">
        <v>1001.7900000000001</v>
      </c>
      <c r="G284" s="6">
        <v>433.61</v>
      </c>
      <c r="H284" s="6">
        <v>0</v>
      </c>
      <c r="I284" s="6">
        <v>112113.24000000028</v>
      </c>
      <c r="K284" s="2"/>
      <c r="L284" s="34"/>
      <c r="O284" s="34"/>
    </row>
    <row r="285" spans="1:15">
      <c r="A285" s="5">
        <v>267</v>
      </c>
      <c r="B285" s="25">
        <v>51312</v>
      </c>
      <c r="C285" s="24">
        <v>268</v>
      </c>
      <c r="D285" s="6">
        <v>112113.24000000028</v>
      </c>
      <c r="E285" s="6">
        <v>1435.4</v>
      </c>
      <c r="F285" s="6">
        <v>1005.6300000000001</v>
      </c>
      <c r="G285" s="6">
        <v>429.77</v>
      </c>
      <c r="H285" s="6">
        <v>0</v>
      </c>
      <c r="I285" s="6">
        <v>111107.61000000028</v>
      </c>
      <c r="K285" s="2"/>
      <c r="L285" s="34"/>
      <c r="O285" s="34"/>
    </row>
    <row r="286" spans="1:15">
      <c r="A286" s="5">
        <v>268</v>
      </c>
      <c r="B286" s="25">
        <v>51342</v>
      </c>
      <c r="C286" s="24">
        <v>269</v>
      </c>
      <c r="D286" s="6">
        <v>111107.61000000028</v>
      </c>
      <c r="E286" s="6">
        <v>1435.4</v>
      </c>
      <c r="F286" s="6">
        <v>1009.49</v>
      </c>
      <c r="G286" s="6">
        <v>425.91</v>
      </c>
      <c r="H286" s="6">
        <v>0</v>
      </c>
      <c r="I286" s="6">
        <v>110098.12000000027</v>
      </c>
      <c r="K286" s="2"/>
      <c r="L286" s="34"/>
      <c r="O286" s="34"/>
    </row>
    <row r="287" spans="1:15">
      <c r="A287" s="5">
        <v>269</v>
      </c>
      <c r="B287" s="25">
        <v>51373</v>
      </c>
      <c r="C287" s="24">
        <v>270</v>
      </c>
      <c r="D287" s="6">
        <v>110098.12000000027</v>
      </c>
      <c r="E287" s="6">
        <v>1435.4</v>
      </c>
      <c r="F287" s="6">
        <v>1013.3600000000001</v>
      </c>
      <c r="G287" s="6">
        <v>422.04</v>
      </c>
      <c r="H287" s="6">
        <v>0</v>
      </c>
      <c r="I287" s="6">
        <v>109084.76000000027</v>
      </c>
      <c r="K287" s="2"/>
      <c r="L287" s="34"/>
      <c r="O287" s="34"/>
    </row>
    <row r="288" spans="1:15">
      <c r="A288" s="5">
        <v>270</v>
      </c>
      <c r="B288" s="25">
        <v>51404</v>
      </c>
      <c r="C288" s="24">
        <v>271</v>
      </c>
      <c r="D288" s="6">
        <v>109084.76000000027</v>
      </c>
      <c r="E288" s="6">
        <v>1435.4</v>
      </c>
      <c r="F288" s="6">
        <v>1017.24</v>
      </c>
      <c r="G288" s="6">
        <v>418.16</v>
      </c>
      <c r="H288" s="6">
        <v>0</v>
      </c>
      <c r="I288" s="6">
        <v>108067.52000000027</v>
      </c>
      <c r="K288" s="2"/>
      <c r="L288" s="34"/>
      <c r="O288" s="34"/>
    </row>
    <row r="289" spans="1:15">
      <c r="A289" s="5">
        <v>271</v>
      </c>
      <c r="B289" s="25">
        <v>51434</v>
      </c>
      <c r="C289" s="24">
        <v>272</v>
      </c>
      <c r="D289" s="6">
        <v>108067.52000000027</v>
      </c>
      <c r="E289" s="6">
        <v>1435.4</v>
      </c>
      <c r="F289" s="6">
        <v>1021.1400000000001</v>
      </c>
      <c r="G289" s="6">
        <v>414.26</v>
      </c>
      <c r="H289" s="6">
        <v>0</v>
      </c>
      <c r="I289" s="6">
        <v>107046.38000000027</v>
      </c>
      <c r="K289" s="2"/>
      <c r="L289" s="34"/>
      <c r="O289" s="34"/>
    </row>
    <row r="290" spans="1:15">
      <c r="A290" s="5">
        <v>272</v>
      </c>
      <c r="B290" s="25">
        <v>51465</v>
      </c>
      <c r="C290" s="24">
        <v>273</v>
      </c>
      <c r="D290" s="6">
        <v>107046.38000000027</v>
      </c>
      <c r="E290" s="6">
        <v>1435.4</v>
      </c>
      <c r="F290" s="6">
        <v>1025.0600000000002</v>
      </c>
      <c r="G290" s="6">
        <v>410.34</v>
      </c>
      <c r="H290" s="6">
        <v>0</v>
      </c>
      <c r="I290" s="6">
        <v>106021.32000000027</v>
      </c>
      <c r="K290" s="2"/>
      <c r="L290" s="34"/>
      <c r="O290" s="34"/>
    </row>
    <row r="291" spans="1:15">
      <c r="A291" s="5">
        <v>273</v>
      </c>
      <c r="B291" s="25">
        <v>51495</v>
      </c>
      <c r="C291" s="24">
        <v>274</v>
      </c>
      <c r="D291" s="6">
        <v>106021.32000000027</v>
      </c>
      <c r="E291" s="6">
        <v>1435.4</v>
      </c>
      <c r="F291" s="6">
        <v>1028.98</v>
      </c>
      <c r="G291" s="6">
        <v>406.42</v>
      </c>
      <c r="H291" s="6">
        <v>0</v>
      </c>
      <c r="I291" s="6">
        <v>104992.34000000027</v>
      </c>
      <c r="K291" s="2"/>
      <c r="L291" s="34"/>
      <c r="O291" s="34"/>
    </row>
    <row r="292" spans="1:15">
      <c r="A292" s="5">
        <v>274</v>
      </c>
      <c r="B292" s="25">
        <v>51526</v>
      </c>
      <c r="C292" s="24">
        <v>275</v>
      </c>
      <c r="D292" s="6">
        <v>104992.34000000027</v>
      </c>
      <c r="E292" s="6">
        <v>1435.4</v>
      </c>
      <c r="F292" s="6">
        <v>1032.93</v>
      </c>
      <c r="G292" s="6">
        <v>402.47</v>
      </c>
      <c r="H292" s="6">
        <v>0</v>
      </c>
      <c r="I292" s="6">
        <v>103959.41000000028</v>
      </c>
      <c r="K292" s="2"/>
      <c r="L292" s="34"/>
      <c r="O292" s="34"/>
    </row>
    <row r="293" spans="1:15">
      <c r="A293" s="5">
        <v>275</v>
      </c>
      <c r="B293" s="25">
        <v>51557</v>
      </c>
      <c r="C293" s="24">
        <v>276</v>
      </c>
      <c r="D293" s="6">
        <v>103959.41000000028</v>
      </c>
      <c r="E293" s="6">
        <v>1435.4</v>
      </c>
      <c r="F293" s="6">
        <v>1036.8900000000001</v>
      </c>
      <c r="G293" s="6">
        <v>398.51</v>
      </c>
      <c r="H293" s="6">
        <v>0</v>
      </c>
      <c r="I293" s="6">
        <v>102922.52000000028</v>
      </c>
      <c r="K293" s="2"/>
      <c r="L293" s="34"/>
      <c r="O293" s="34"/>
    </row>
    <row r="294" spans="1:15">
      <c r="A294" s="5">
        <v>276</v>
      </c>
      <c r="B294" s="25">
        <v>51585</v>
      </c>
      <c r="C294" s="24">
        <v>277</v>
      </c>
      <c r="D294" s="6">
        <v>102922.52000000028</v>
      </c>
      <c r="E294" s="6">
        <v>1435.4</v>
      </c>
      <c r="F294" s="6">
        <v>1040.8600000000001</v>
      </c>
      <c r="G294" s="6">
        <v>394.54</v>
      </c>
      <c r="H294" s="6">
        <v>0</v>
      </c>
      <c r="I294" s="6">
        <v>101881.66000000028</v>
      </c>
      <c r="K294" s="2"/>
      <c r="L294" s="34"/>
      <c r="O294" s="34"/>
    </row>
    <row r="295" spans="1:15">
      <c r="A295" s="5">
        <v>277</v>
      </c>
      <c r="B295" s="25">
        <v>51616</v>
      </c>
      <c r="C295" s="24">
        <v>278</v>
      </c>
      <c r="D295" s="6">
        <v>101881.66000000028</v>
      </c>
      <c r="E295" s="6">
        <v>1435.4</v>
      </c>
      <c r="F295" s="6">
        <v>1044.8500000000001</v>
      </c>
      <c r="G295" s="6">
        <v>390.55</v>
      </c>
      <c r="H295" s="6">
        <v>0</v>
      </c>
      <c r="I295" s="6">
        <v>100836.81000000027</v>
      </c>
      <c r="K295" s="2"/>
      <c r="L295" s="34"/>
      <c r="O295" s="34"/>
    </row>
    <row r="296" spans="1:15">
      <c r="A296" s="5">
        <v>278</v>
      </c>
      <c r="B296" s="25">
        <v>51646</v>
      </c>
      <c r="C296" s="24">
        <v>279</v>
      </c>
      <c r="D296" s="6">
        <v>100836.81000000027</v>
      </c>
      <c r="E296" s="6">
        <v>1435.4</v>
      </c>
      <c r="F296" s="6">
        <v>1048.8600000000001</v>
      </c>
      <c r="G296" s="6">
        <v>386.54</v>
      </c>
      <c r="H296" s="6">
        <v>0</v>
      </c>
      <c r="I296" s="6">
        <v>99787.950000000274</v>
      </c>
      <c r="K296" s="2"/>
      <c r="L296" s="34"/>
      <c r="O296" s="34"/>
    </row>
    <row r="297" spans="1:15">
      <c r="A297" s="5">
        <v>279</v>
      </c>
      <c r="B297" s="25">
        <v>51677</v>
      </c>
      <c r="C297" s="24">
        <v>280</v>
      </c>
      <c r="D297" s="6">
        <v>99787.950000000274</v>
      </c>
      <c r="E297" s="6">
        <v>1435.4</v>
      </c>
      <c r="F297" s="6">
        <v>1052.8800000000001</v>
      </c>
      <c r="G297" s="6">
        <v>382.52</v>
      </c>
      <c r="H297" s="6">
        <v>0</v>
      </c>
      <c r="I297" s="6">
        <v>98735.070000000269</v>
      </c>
      <c r="K297" s="2"/>
      <c r="L297" s="34"/>
      <c r="O297" s="34"/>
    </row>
    <row r="298" spans="1:15">
      <c r="A298" s="5">
        <v>280</v>
      </c>
      <c r="B298" s="25">
        <v>51707</v>
      </c>
      <c r="C298" s="24">
        <v>281</v>
      </c>
      <c r="D298" s="6">
        <v>98735.070000000269</v>
      </c>
      <c r="E298" s="6">
        <v>1435.4</v>
      </c>
      <c r="F298" s="6">
        <v>1056.92</v>
      </c>
      <c r="G298" s="6">
        <v>378.48</v>
      </c>
      <c r="H298" s="6">
        <v>0</v>
      </c>
      <c r="I298" s="6">
        <v>97678.150000000271</v>
      </c>
      <c r="K298" s="2"/>
      <c r="L298" s="34"/>
      <c r="O298" s="34"/>
    </row>
    <row r="299" spans="1:15">
      <c r="A299" s="5">
        <v>281</v>
      </c>
      <c r="B299" s="25">
        <v>51738</v>
      </c>
      <c r="C299" s="24">
        <v>282</v>
      </c>
      <c r="D299" s="6">
        <v>97678.150000000271</v>
      </c>
      <c r="E299" s="6">
        <v>1435.4</v>
      </c>
      <c r="F299" s="6">
        <v>1060.97</v>
      </c>
      <c r="G299" s="6">
        <v>374.43</v>
      </c>
      <c r="H299" s="6">
        <v>0</v>
      </c>
      <c r="I299" s="6">
        <v>96617.18000000027</v>
      </c>
      <c r="K299" s="2"/>
      <c r="L299" s="34"/>
      <c r="O299" s="34"/>
    </row>
    <row r="300" spans="1:15">
      <c r="A300" s="5">
        <v>282</v>
      </c>
      <c r="B300" s="25">
        <v>51769</v>
      </c>
      <c r="C300" s="24">
        <v>283</v>
      </c>
      <c r="D300" s="6">
        <v>96617.18000000027</v>
      </c>
      <c r="E300" s="6">
        <v>1435.4</v>
      </c>
      <c r="F300" s="6">
        <v>1065.0300000000002</v>
      </c>
      <c r="G300" s="6">
        <v>370.37</v>
      </c>
      <c r="H300" s="6">
        <v>0</v>
      </c>
      <c r="I300" s="6">
        <v>95552.150000000271</v>
      </c>
      <c r="K300" s="2"/>
      <c r="L300" s="34"/>
      <c r="O300" s="34"/>
    </row>
    <row r="301" spans="1:15">
      <c r="A301" s="5">
        <v>283</v>
      </c>
      <c r="B301" s="25">
        <v>51799</v>
      </c>
      <c r="C301" s="24">
        <v>284</v>
      </c>
      <c r="D301" s="6">
        <v>95552.150000000271</v>
      </c>
      <c r="E301" s="6">
        <v>1435.4</v>
      </c>
      <c r="F301" s="6">
        <v>1069.1200000000001</v>
      </c>
      <c r="G301" s="6">
        <v>366.28</v>
      </c>
      <c r="H301" s="6">
        <v>0</v>
      </c>
      <c r="I301" s="6">
        <v>94483.030000000275</v>
      </c>
      <c r="K301" s="2"/>
      <c r="L301" s="34"/>
      <c r="O301" s="34"/>
    </row>
    <row r="302" spans="1:15">
      <c r="A302" s="5">
        <v>284</v>
      </c>
      <c r="B302" s="25">
        <v>51830</v>
      </c>
      <c r="C302" s="24">
        <v>285</v>
      </c>
      <c r="D302" s="6">
        <v>94483.030000000275</v>
      </c>
      <c r="E302" s="6">
        <v>1435.4</v>
      </c>
      <c r="F302" s="6">
        <v>1073.22</v>
      </c>
      <c r="G302" s="6">
        <v>362.18</v>
      </c>
      <c r="H302" s="6">
        <v>0</v>
      </c>
      <c r="I302" s="6">
        <v>93409.810000000274</v>
      </c>
      <c r="K302" s="2"/>
      <c r="L302" s="34"/>
      <c r="O302" s="34"/>
    </row>
    <row r="303" spans="1:15">
      <c r="A303" s="5">
        <v>285</v>
      </c>
      <c r="B303" s="25">
        <v>51860</v>
      </c>
      <c r="C303" s="24">
        <v>286</v>
      </c>
      <c r="D303" s="6">
        <v>93409.810000000274</v>
      </c>
      <c r="E303" s="6">
        <v>1435.4</v>
      </c>
      <c r="F303" s="6">
        <v>1077.3300000000002</v>
      </c>
      <c r="G303" s="6">
        <v>358.07</v>
      </c>
      <c r="H303" s="6">
        <v>0</v>
      </c>
      <c r="I303" s="6">
        <v>92332.480000000272</v>
      </c>
      <c r="K303" s="2"/>
      <c r="L303" s="34"/>
      <c r="O303" s="34"/>
    </row>
    <row r="304" spans="1:15">
      <c r="A304" s="5">
        <v>286</v>
      </c>
      <c r="B304" s="25">
        <v>51891</v>
      </c>
      <c r="C304" s="24">
        <v>287</v>
      </c>
      <c r="D304" s="6">
        <v>92332.480000000272</v>
      </c>
      <c r="E304" s="6">
        <v>1435.4</v>
      </c>
      <c r="F304" s="6">
        <v>1081.46</v>
      </c>
      <c r="G304" s="6">
        <v>353.94</v>
      </c>
      <c r="H304" s="6">
        <v>0</v>
      </c>
      <c r="I304" s="6">
        <v>91251.020000000266</v>
      </c>
      <c r="K304" s="2"/>
      <c r="L304" s="34"/>
      <c r="O304" s="34"/>
    </row>
    <row r="305" spans="1:15">
      <c r="A305" s="5">
        <v>287</v>
      </c>
      <c r="B305" s="25">
        <v>51922</v>
      </c>
      <c r="C305" s="24">
        <v>288</v>
      </c>
      <c r="D305" s="6">
        <v>91251.020000000266</v>
      </c>
      <c r="E305" s="6">
        <v>1435.4</v>
      </c>
      <c r="F305" s="6">
        <v>1085.6000000000001</v>
      </c>
      <c r="G305" s="6">
        <v>349.8</v>
      </c>
      <c r="H305" s="6">
        <v>0</v>
      </c>
      <c r="I305" s="6">
        <v>90165.42000000026</v>
      </c>
      <c r="K305" s="2"/>
      <c r="L305" s="34"/>
      <c r="O305" s="34"/>
    </row>
    <row r="306" spans="1:15">
      <c r="A306" s="5">
        <v>288</v>
      </c>
      <c r="B306" s="25">
        <v>51950</v>
      </c>
      <c r="C306" s="24">
        <v>289</v>
      </c>
      <c r="D306" s="6">
        <v>90165.42000000026</v>
      </c>
      <c r="E306" s="6">
        <v>1435.4</v>
      </c>
      <c r="F306" s="6">
        <v>1089.77</v>
      </c>
      <c r="G306" s="6">
        <v>345.63</v>
      </c>
      <c r="H306" s="6">
        <v>0</v>
      </c>
      <c r="I306" s="6">
        <v>89075.650000000256</v>
      </c>
      <c r="K306" s="2"/>
      <c r="L306" s="34"/>
      <c r="O306" s="34"/>
    </row>
    <row r="307" spans="1:15">
      <c r="A307" s="5">
        <v>289</v>
      </c>
      <c r="B307" s="25">
        <v>51981</v>
      </c>
      <c r="C307" s="24">
        <v>290</v>
      </c>
      <c r="D307" s="6">
        <v>89075.650000000256</v>
      </c>
      <c r="E307" s="6">
        <v>1435.4</v>
      </c>
      <c r="F307" s="6">
        <v>1093.94</v>
      </c>
      <c r="G307" s="6">
        <v>341.46</v>
      </c>
      <c r="H307" s="6">
        <v>0</v>
      </c>
      <c r="I307" s="6">
        <v>87981.710000000254</v>
      </c>
      <c r="K307" s="2"/>
      <c r="L307" s="34"/>
      <c r="O307" s="34"/>
    </row>
    <row r="308" spans="1:15">
      <c r="A308" s="5">
        <v>290</v>
      </c>
      <c r="B308" s="25">
        <v>52011</v>
      </c>
      <c r="C308" s="24">
        <v>291</v>
      </c>
      <c r="D308" s="6">
        <v>87981.710000000254</v>
      </c>
      <c r="E308" s="6">
        <v>1435.4</v>
      </c>
      <c r="F308" s="6">
        <v>1098.1400000000001</v>
      </c>
      <c r="G308" s="6">
        <v>337.26</v>
      </c>
      <c r="H308" s="6">
        <v>0</v>
      </c>
      <c r="I308" s="6">
        <v>86883.570000000254</v>
      </c>
      <c r="K308" s="2"/>
      <c r="L308" s="34"/>
      <c r="O308" s="34"/>
    </row>
    <row r="309" spans="1:15">
      <c r="A309" s="5">
        <v>291</v>
      </c>
      <c r="B309" s="25">
        <v>52042</v>
      </c>
      <c r="C309" s="24">
        <v>292</v>
      </c>
      <c r="D309" s="6">
        <v>86883.570000000254</v>
      </c>
      <c r="E309" s="6">
        <v>1435.4</v>
      </c>
      <c r="F309" s="6">
        <v>1102.3500000000001</v>
      </c>
      <c r="G309" s="6">
        <v>333.05</v>
      </c>
      <c r="H309" s="6">
        <v>0</v>
      </c>
      <c r="I309" s="6">
        <v>85781.220000000249</v>
      </c>
      <c r="K309" s="2"/>
      <c r="L309" s="34"/>
      <c r="O309" s="34"/>
    </row>
    <row r="310" spans="1:15">
      <c r="A310" s="5">
        <v>292</v>
      </c>
      <c r="B310" s="25">
        <v>52072</v>
      </c>
      <c r="C310" s="24">
        <v>293</v>
      </c>
      <c r="D310" s="6">
        <v>85781.220000000249</v>
      </c>
      <c r="E310" s="6">
        <v>1435.4</v>
      </c>
      <c r="F310" s="6">
        <v>1106.5700000000002</v>
      </c>
      <c r="G310" s="6">
        <v>328.83</v>
      </c>
      <c r="H310" s="6">
        <v>0</v>
      </c>
      <c r="I310" s="6">
        <v>84674.650000000242</v>
      </c>
      <c r="K310" s="2"/>
      <c r="L310" s="34"/>
      <c r="O310" s="34"/>
    </row>
    <row r="311" spans="1:15">
      <c r="A311" s="5">
        <v>293</v>
      </c>
      <c r="B311" s="25">
        <v>52103</v>
      </c>
      <c r="C311" s="24">
        <v>294</v>
      </c>
      <c r="D311" s="6">
        <v>84674.650000000242</v>
      </c>
      <c r="E311" s="6">
        <v>1435.4</v>
      </c>
      <c r="F311" s="6">
        <v>1110.8100000000002</v>
      </c>
      <c r="G311" s="6">
        <v>324.58999999999997</v>
      </c>
      <c r="H311" s="6">
        <v>0</v>
      </c>
      <c r="I311" s="6">
        <v>83563.840000000244</v>
      </c>
      <c r="K311" s="2"/>
      <c r="L311" s="34"/>
      <c r="O311" s="34"/>
    </row>
    <row r="312" spans="1:15">
      <c r="A312" s="5">
        <v>294</v>
      </c>
      <c r="B312" s="25">
        <v>52134</v>
      </c>
      <c r="C312" s="24">
        <v>295</v>
      </c>
      <c r="D312" s="6">
        <v>83563.840000000244</v>
      </c>
      <c r="E312" s="6">
        <v>1435.4</v>
      </c>
      <c r="F312" s="6">
        <v>1115.0700000000002</v>
      </c>
      <c r="G312" s="6">
        <v>320.33</v>
      </c>
      <c r="H312" s="6">
        <v>0</v>
      </c>
      <c r="I312" s="6">
        <v>82448.770000000237</v>
      </c>
      <c r="K312" s="2"/>
      <c r="L312" s="34"/>
      <c r="O312" s="34"/>
    </row>
    <row r="313" spans="1:15">
      <c r="A313" s="5">
        <v>295</v>
      </c>
      <c r="B313" s="25">
        <v>52164</v>
      </c>
      <c r="C313" s="24">
        <v>296</v>
      </c>
      <c r="D313" s="6">
        <v>82448.770000000237</v>
      </c>
      <c r="E313" s="6">
        <v>1435.4</v>
      </c>
      <c r="F313" s="6">
        <v>1119.3500000000001</v>
      </c>
      <c r="G313" s="6">
        <v>316.05</v>
      </c>
      <c r="H313" s="6">
        <v>0</v>
      </c>
      <c r="I313" s="6">
        <v>81329.420000000231</v>
      </c>
      <c r="K313" s="2"/>
      <c r="L313" s="34"/>
      <c r="O313" s="34"/>
    </row>
    <row r="314" spans="1:15">
      <c r="A314" s="5">
        <v>296</v>
      </c>
      <c r="B314" s="25">
        <v>52195</v>
      </c>
      <c r="C314" s="24">
        <v>297</v>
      </c>
      <c r="D314" s="6">
        <v>81329.420000000231</v>
      </c>
      <c r="E314" s="6">
        <v>1435.4</v>
      </c>
      <c r="F314" s="6">
        <v>1123.6400000000001</v>
      </c>
      <c r="G314" s="6">
        <v>311.76</v>
      </c>
      <c r="H314" s="6">
        <v>0</v>
      </c>
      <c r="I314" s="6">
        <v>80205.780000000232</v>
      </c>
      <c r="K314" s="2"/>
      <c r="L314" s="34"/>
      <c r="O314" s="34"/>
    </row>
    <row r="315" spans="1:15">
      <c r="A315" s="5">
        <v>297</v>
      </c>
      <c r="B315" s="23">
        <v>52225</v>
      </c>
      <c r="C315" s="24">
        <v>298</v>
      </c>
      <c r="D315" s="6">
        <v>80205.780000000232</v>
      </c>
      <c r="E315" s="6">
        <v>1435.4</v>
      </c>
      <c r="F315" s="6">
        <v>1127.94</v>
      </c>
      <c r="G315" s="6">
        <v>307.45999999999998</v>
      </c>
      <c r="H315" s="6">
        <v>0</v>
      </c>
      <c r="I315" s="6">
        <v>79077.840000000229</v>
      </c>
      <c r="K315" s="2"/>
      <c r="L315" s="34"/>
      <c r="O315" s="34"/>
    </row>
    <row r="316" spans="1:15">
      <c r="A316" s="5">
        <v>298</v>
      </c>
      <c r="B316" s="23">
        <v>52256</v>
      </c>
      <c r="C316" s="24">
        <v>299</v>
      </c>
      <c r="D316" s="6">
        <v>79077.840000000229</v>
      </c>
      <c r="E316" s="6">
        <v>1435.4</v>
      </c>
      <c r="F316" s="6">
        <v>1132.27</v>
      </c>
      <c r="G316" s="6">
        <v>303.13</v>
      </c>
      <c r="H316" s="6">
        <v>0</v>
      </c>
      <c r="I316" s="6">
        <v>77945.570000000225</v>
      </c>
      <c r="K316" s="2"/>
      <c r="L316" s="34"/>
      <c r="O316" s="34"/>
    </row>
    <row r="317" spans="1:15">
      <c r="A317" s="5">
        <v>299</v>
      </c>
      <c r="B317" s="23">
        <v>52287</v>
      </c>
      <c r="C317" s="24">
        <v>300</v>
      </c>
      <c r="D317" s="6">
        <v>77945.570000000225</v>
      </c>
      <c r="E317" s="6">
        <v>1435.4</v>
      </c>
      <c r="F317" s="6">
        <v>1136.6100000000001</v>
      </c>
      <c r="G317" s="6">
        <v>298.79000000000002</v>
      </c>
      <c r="H317" s="6">
        <v>0</v>
      </c>
      <c r="I317" s="6">
        <v>76808.960000000225</v>
      </c>
      <c r="K317" s="2"/>
      <c r="L317" s="34"/>
      <c r="O317" s="34"/>
    </row>
    <row r="318" spans="1:15">
      <c r="A318" s="5">
        <v>300</v>
      </c>
      <c r="B318" s="23">
        <v>52315</v>
      </c>
      <c r="C318" s="24">
        <v>301</v>
      </c>
      <c r="D318" s="6">
        <v>76808.960000000225</v>
      </c>
      <c r="E318" s="6">
        <v>1435.4</v>
      </c>
      <c r="F318" s="6">
        <v>1140.97</v>
      </c>
      <c r="G318" s="6">
        <v>294.43</v>
      </c>
      <c r="H318" s="6">
        <v>0</v>
      </c>
      <c r="I318" s="6">
        <v>75667.990000000224</v>
      </c>
      <c r="K318" s="2"/>
      <c r="L318" s="34"/>
      <c r="O318" s="34"/>
    </row>
    <row r="319" spans="1:15">
      <c r="A319" s="5">
        <v>301</v>
      </c>
      <c r="B319" s="23">
        <v>52346</v>
      </c>
      <c r="C319" s="24">
        <v>302</v>
      </c>
      <c r="D319" s="6">
        <v>75667.990000000224</v>
      </c>
      <c r="E319" s="6">
        <v>1435.4</v>
      </c>
      <c r="F319" s="6">
        <v>1145.3400000000001</v>
      </c>
      <c r="G319" s="6">
        <v>290.06</v>
      </c>
      <c r="H319" s="6">
        <v>0</v>
      </c>
      <c r="I319" s="6">
        <v>74522.650000000227</v>
      </c>
      <c r="K319" s="2"/>
      <c r="L319" s="34"/>
      <c r="O319" s="34"/>
    </row>
    <row r="320" spans="1:15">
      <c r="A320" s="5">
        <v>302</v>
      </c>
      <c r="B320" s="23">
        <v>52376</v>
      </c>
      <c r="C320" s="24">
        <v>303</v>
      </c>
      <c r="D320" s="6">
        <v>74522.650000000227</v>
      </c>
      <c r="E320" s="6">
        <v>1435.4</v>
      </c>
      <c r="F320" s="6">
        <v>1149.73</v>
      </c>
      <c r="G320" s="6">
        <v>285.67</v>
      </c>
      <c r="H320" s="6">
        <v>0</v>
      </c>
      <c r="I320" s="6">
        <v>73372.920000000231</v>
      </c>
      <c r="K320" s="2"/>
      <c r="L320" s="34"/>
      <c r="O320" s="34"/>
    </row>
    <row r="321" spans="1:15">
      <c r="A321" s="5">
        <v>303</v>
      </c>
      <c r="B321" s="23">
        <v>52407</v>
      </c>
      <c r="C321" s="24">
        <v>304</v>
      </c>
      <c r="D321" s="6">
        <v>73372.920000000231</v>
      </c>
      <c r="E321" s="6">
        <v>1435.4</v>
      </c>
      <c r="F321" s="6">
        <v>1154.1400000000001</v>
      </c>
      <c r="G321" s="6">
        <v>281.26</v>
      </c>
      <c r="H321" s="6">
        <v>0</v>
      </c>
      <c r="I321" s="6">
        <v>72218.780000000232</v>
      </c>
      <c r="K321" s="2"/>
      <c r="L321" s="34"/>
      <c r="O321" s="34"/>
    </row>
    <row r="322" spans="1:15">
      <c r="A322" s="5">
        <v>304</v>
      </c>
      <c r="B322" s="23">
        <v>52437</v>
      </c>
      <c r="C322" s="24">
        <v>305</v>
      </c>
      <c r="D322" s="6">
        <v>72218.780000000232</v>
      </c>
      <c r="E322" s="6">
        <v>1435.4</v>
      </c>
      <c r="F322" s="6">
        <v>1158.5600000000002</v>
      </c>
      <c r="G322" s="6">
        <v>276.83999999999997</v>
      </c>
      <c r="H322" s="6">
        <v>0</v>
      </c>
      <c r="I322" s="6">
        <v>71060.220000000234</v>
      </c>
      <c r="K322" s="2"/>
      <c r="L322" s="34"/>
      <c r="O322" s="34"/>
    </row>
    <row r="323" spans="1:15">
      <c r="A323" s="5">
        <v>305</v>
      </c>
      <c r="B323" s="23">
        <v>52468</v>
      </c>
      <c r="C323" s="24">
        <v>306</v>
      </c>
      <c r="D323" s="6">
        <v>71060.220000000234</v>
      </c>
      <c r="E323" s="6">
        <v>1435.4</v>
      </c>
      <c r="F323" s="6">
        <v>1163</v>
      </c>
      <c r="G323" s="6">
        <v>272.39999999999998</v>
      </c>
      <c r="H323" s="6">
        <v>0</v>
      </c>
      <c r="I323" s="6">
        <v>69897.220000000234</v>
      </c>
      <c r="K323" s="2"/>
      <c r="L323" s="34"/>
      <c r="O323" s="34"/>
    </row>
    <row r="324" spans="1:15">
      <c r="A324" s="5">
        <v>306</v>
      </c>
      <c r="B324" s="23">
        <v>52499</v>
      </c>
      <c r="C324" s="24">
        <v>307</v>
      </c>
      <c r="D324" s="6">
        <v>69897.220000000234</v>
      </c>
      <c r="E324" s="6">
        <v>1435.4</v>
      </c>
      <c r="F324" s="6">
        <v>1167.46</v>
      </c>
      <c r="G324" s="6">
        <v>267.94</v>
      </c>
      <c r="H324" s="6">
        <v>0</v>
      </c>
      <c r="I324" s="6">
        <v>68729.760000000228</v>
      </c>
      <c r="K324" s="2"/>
      <c r="L324" s="34"/>
      <c r="O324" s="34"/>
    </row>
    <row r="325" spans="1:15">
      <c r="A325" s="5">
        <v>307</v>
      </c>
      <c r="B325" s="23">
        <v>52529</v>
      </c>
      <c r="C325" s="24">
        <v>308</v>
      </c>
      <c r="D325" s="6">
        <v>68729.760000000228</v>
      </c>
      <c r="E325" s="6">
        <v>1435.4</v>
      </c>
      <c r="F325" s="6">
        <v>1171.94</v>
      </c>
      <c r="G325" s="6">
        <v>263.45999999999998</v>
      </c>
      <c r="H325" s="6">
        <v>0</v>
      </c>
      <c r="I325" s="6">
        <v>67557.820000000225</v>
      </c>
      <c r="K325" s="2"/>
      <c r="L325" s="34"/>
      <c r="O325" s="34"/>
    </row>
    <row r="326" spans="1:15">
      <c r="A326" s="5">
        <v>308</v>
      </c>
      <c r="B326" s="23">
        <v>52560</v>
      </c>
      <c r="C326" s="24">
        <v>309</v>
      </c>
      <c r="D326" s="6">
        <v>67557.820000000225</v>
      </c>
      <c r="E326" s="6">
        <v>1435.4</v>
      </c>
      <c r="F326" s="6">
        <v>1176.43</v>
      </c>
      <c r="G326" s="6">
        <v>258.97000000000003</v>
      </c>
      <c r="H326" s="6">
        <v>0</v>
      </c>
      <c r="I326" s="6">
        <v>66381.390000000232</v>
      </c>
      <c r="K326" s="2"/>
      <c r="L326" s="34"/>
      <c r="O326" s="34"/>
    </row>
    <row r="327" spans="1:15">
      <c r="A327" s="5">
        <v>309</v>
      </c>
      <c r="B327" s="23">
        <v>52590</v>
      </c>
      <c r="C327" s="24">
        <v>310</v>
      </c>
      <c r="D327" s="6">
        <v>66381.390000000232</v>
      </c>
      <c r="E327" s="6">
        <v>1435.4</v>
      </c>
      <c r="F327" s="6">
        <v>1180.94</v>
      </c>
      <c r="G327" s="6">
        <v>254.46</v>
      </c>
      <c r="H327" s="6">
        <v>0</v>
      </c>
      <c r="I327" s="6">
        <v>65200.45000000023</v>
      </c>
      <c r="K327" s="2"/>
      <c r="L327" s="34"/>
      <c r="O327" s="34"/>
    </row>
    <row r="328" spans="1:15">
      <c r="A328" s="5">
        <v>310</v>
      </c>
      <c r="B328" s="23">
        <v>52621</v>
      </c>
      <c r="C328" s="24">
        <v>311</v>
      </c>
      <c r="D328" s="6">
        <v>65200.45000000023</v>
      </c>
      <c r="E328" s="6">
        <v>1435.4</v>
      </c>
      <c r="F328" s="6">
        <v>1185.46</v>
      </c>
      <c r="G328" s="6">
        <v>249.94</v>
      </c>
      <c r="H328" s="6">
        <v>0</v>
      </c>
      <c r="I328" s="6">
        <v>64014.990000000231</v>
      </c>
      <c r="K328" s="2"/>
      <c r="L328" s="34"/>
      <c r="O328" s="34"/>
    </row>
    <row r="329" spans="1:15">
      <c r="A329" s="5">
        <v>311</v>
      </c>
      <c r="B329" s="23">
        <v>52652</v>
      </c>
      <c r="C329" s="24">
        <v>312</v>
      </c>
      <c r="D329" s="6">
        <v>64014.990000000231</v>
      </c>
      <c r="E329" s="6">
        <v>1435.4</v>
      </c>
      <c r="F329" s="6">
        <v>1190.0100000000002</v>
      </c>
      <c r="G329" s="6">
        <v>245.39</v>
      </c>
      <c r="H329" s="6">
        <v>0</v>
      </c>
      <c r="I329" s="6">
        <v>62824.980000000229</v>
      </c>
      <c r="K329" s="2"/>
      <c r="L329" s="34"/>
      <c r="O329" s="34"/>
    </row>
    <row r="330" spans="1:15">
      <c r="A330" s="5">
        <v>312</v>
      </c>
      <c r="B330" s="23">
        <v>52681</v>
      </c>
      <c r="C330" s="24">
        <v>313</v>
      </c>
      <c r="D330" s="6">
        <v>62824.980000000229</v>
      </c>
      <c r="E330" s="6">
        <v>1435.4</v>
      </c>
      <c r="F330" s="6">
        <v>1194.5700000000002</v>
      </c>
      <c r="G330" s="6">
        <v>240.83</v>
      </c>
      <c r="H330" s="6">
        <v>0</v>
      </c>
      <c r="I330" s="6">
        <v>61630.410000000229</v>
      </c>
      <c r="K330" s="2"/>
      <c r="L330" s="34"/>
      <c r="O330" s="34"/>
    </row>
    <row r="331" spans="1:15">
      <c r="A331" s="5">
        <v>313</v>
      </c>
      <c r="B331" s="23">
        <v>52712</v>
      </c>
      <c r="C331" s="24">
        <v>314</v>
      </c>
      <c r="D331" s="6">
        <v>61630.410000000229</v>
      </c>
      <c r="E331" s="6">
        <v>1435.4</v>
      </c>
      <c r="F331" s="6">
        <v>1199.1500000000001</v>
      </c>
      <c r="G331" s="6">
        <v>236.25</v>
      </c>
      <c r="H331" s="6">
        <v>0</v>
      </c>
      <c r="I331" s="6">
        <v>60431.260000000228</v>
      </c>
      <c r="K331" s="2"/>
      <c r="L331" s="34"/>
      <c r="O331" s="34"/>
    </row>
    <row r="332" spans="1:15">
      <c r="A332" s="5">
        <v>314</v>
      </c>
      <c r="B332" s="23">
        <v>52742</v>
      </c>
      <c r="C332" s="24">
        <v>315</v>
      </c>
      <c r="D332" s="6">
        <v>60431.260000000228</v>
      </c>
      <c r="E332" s="6">
        <v>1435.4</v>
      </c>
      <c r="F332" s="6">
        <v>1203.75</v>
      </c>
      <c r="G332" s="6">
        <v>231.65</v>
      </c>
      <c r="H332" s="6">
        <v>0</v>
      </c>
      <c r="I332" s="6">
        <v>59227.510000000228</v>
      </c>
      <c r="K332" s="2"/>
      <c r="L332" s="34"/>
      <c r="O332" s="34"/>
    </row>
    <row r="333" spans="1:15">
      <c r="A333" s="5">
        <v>315</v>
      </c>
      <c r="B333" s="23">
        <v>52773</v>
      </c>
      <c r="C333" s="24">
        <v>316</v>
      </c>
      <c r="D333" s="6">
        <v>59227.510000000228</v>
      </c>
      <c r="E333" s="6">
        <v>1435.4</v>
      </c>
      <c r="F333" s="6">
        <v>1208.3600000000001</v>
      </c>
      <c r="G333" s="6">
        <v>227.04</v>
      </c>
      <c r="H333" s="6">
        <v>0</v>
      </c>
      <c r="I333" s="6">
        <v>58019.150000000227</v>
      </c>
      <c r="K333" s="2"/>
      <c r="L333" s="34"/>
      <c r="O333" s="34"/>
    </row>
    <row r="334" spans="1:15">
      <c r="A334" s="5">
        <v>316</v>
      </c>
      <c r="B334" s="23">
        <v>52803</v>
      </c>
      <c r="C334" s="24">
        <v>317</v>
      </c>
      <c r="D334" s="6">
        <v>58019.150000000227</v>
      </c>
      <c r="E334" s="6">
        <v>1435.4</v>
      </c>
      <c r="F334" s="6">
        <v>1212.99</v>
      </c>
      <c r="G334" s="6">
        <v>222.41</v>
      </c>
      <c r="H334" s="6">
        <v>0</v>
      </c>
      <c r="I334" s="6">
        <v>56806.160000000229</v>
      </c>
      <c r="K334" s="2"/>
      <c r="L334" s="34"/>
      <c r="O334" s="34"/>
    </row>
    <row r="335" spans="1:15">
      <c r="A335" s="5">
        <v>317</v>
      </c>
      <c r="B335" s="23">
        <v>52834</v>
      </c>
      <c r="C335" s="24">
        <v>318</v>
      </c>
      <c r="D335" s="6">
        <v>56806.160000000229</v>
      </c>
      <c r="E335" s="6">
        <v>1435.4</v>
      </c>
      <c r="F335" s="6">
        <v>1217.6400000000001</v>
      </c>
      <c r="G335" s="6">
        <v>217.76</v>
      </c>
      <c r="H335" s="6">
        <v>0</v>
      </c>
      <c r="I335" s="6">
        <v>55588.52000000023</v>
      </c>
      <c r="K335" s="2"/>
      <c r="L335" s="34"/>
      <c r="O335" s="34"/>
    </row>
    <row r="336" spans="1:15">
      <c r="A336" s="5">
        <v>318</v>
      </c>
      <c r="B336" s="23">
        <v>52865</v>
      </c>
      <c r="C336" s="24">
        <v>319</v>
      </c>
      <c r="D336" s="6">
        <v>55588.52000000023</v>
      </c>
      <c r="E336" s="6">
        <v>1435.4</v>
      </c>
      <c r="F336" s="6">
        <v>1222.3100000000002</v>
      </c>
      <c r="G336" s="6">
        <v>213.09</v>
      </c>
      <c r="H336" s="6">
        <v>0</v>
      </c>
      <c r="I336" s="6">
        <v>54366.210000000232</v>
      </c>
      <c r="K336" s="2"/>
      <c r="L336" s="34"/>
      <c r="O336" s="34"/>
    </row>
    <row r="337" spans="1:15">
      <c r="A337" s="5">
        <v>319</v>
      </c>
      <c r="B337" s="23">
        <v>52895</v>
      </c>
      <c r="C337" s="24">
        <v>320</v>
      </c>
      <c r="D337" s="6">
        <v>54366.210000000232</v>
      </c>
      <c r="E337" s="6">
        <v>1435.4</v>
      </c>
      <c r="F337" s="6">
        <v>1227</v>
      </c>
      <c r="G337" s="6">
        <v>208.4</v>
      </c>
      <c r="H337" s="6">
        <v>0</v>
      </c>
      <c r="I337" s="6">
        <v>53139.210000000232</v>
      </c>
      <c r="K337" s="2"/>
      <c r="L337" s="34"/>
      <c r="O337" s="34"/>
    </row>
    <row r="338" spans="1:15">
      <c r="A338" s="5">
        <v>320</v>
      </c>
      <c r="B338" s="23">
        <v>52926</v>
      </c>
      <c r="C338" s="24">
        <v>321</v>
      </c>
      <c r="D338" s="6">
        <v>53139.210000000232</v>
      </c>
      <c r="E338" s="6">
        <v>1435.4</v>
      </c>
      <c r="F338" s="6">
        <v>1231.7</v>
      </c>
      <c r="G338" s="6">
        <v>203.7</v>
      </c>
      <c r="H338" s="6">
        <v>0</v>
      </c>
      <c r="I338" s="6">
        <v>51907.510000000235</v>
      </c>
      <c r="K338" s="2"/>
      <c r="L338" s="34"/>
      <c r="O338" s="34"/>
    </row>
    <row r="339" spans="1:15">
      <c r="A339" s="5">
        <v>321</v>
      </c>
      <c r="B339" s="23">
        <v>52956</v>
      </c>
      <c r="C339" s="24">
        <v>322</v>
      </c>
      <c r="D339" s="6">
        <v>51907.510000000235</v>
      </c>
      <c r="E339" s="6">
        <v>1435.4</v>
      </c>
      <c r="F339" s="6">
        <v>1236.42</v>
      </c>
      <c r="G339" s="6">
        <v>198.98</v>
      </c>
      <c r="H339" s="6">
        <v>0</v>
      </c>
      <c r="I339" s="6">
        <v>50671.090000000237</v>
      </c>
      <c r="K339" s="2"/>
      <c r="L339" s="34"/>
      <c r="O339" s="34"/>
    </row>
    <row r="340" spans="1:15">
      <c r="A340" s="5">
        <v>322</v>
      </c>
      <c r="B340" s="23">
        <v>52987</v>
      </c>
      <c r="C340" s="24">
        <v>323</v>
      </c>
      <c r="D340" s="6">
        <v>50671.090000000237</v>
      </c>
      <c r="E340" s="6">
        <v>1435.4</v>
      </c>
      <c r="F340" s="6">
        <v>1241.1600000000001</v>
      </c>
      <c r="G340" s="6">
        <v>194.24</v>
      </c>
      <c r="H340" s="6">
        <v>0</v>
      </c>
      <c r="I340" s="6">
        <v>49429.930000000233</v>
      </c>
      <c r="K340" s="2"/>
      <c r="L340" s="34"/>
      <c r="O340" s="34"/>
    </row>
    <row r="341" spans="1:15">
      <c r="A341" s="5">
        <v>323</v>
      </c>
      <c r="B341" s="23">
        <v>53018</v>
      </c>
      <c r="C341" s="24">
        <v>324</v>
      </c>
      <c r="D341" s="6">
        <v>49429.930000000233</v>
      </c>
      <c r="E341" s="6">
        <v>1435.4</v>
      </c>
      <c r="F341" s="6">
        <v>1245.92</v>
      </c>
      <c r="G341" s="6">
        <v>189.48</v>
      </c>
      <c r="H341" s="6">
        <v>0</v>
      </c>
      <c r="I341" s="6">
        <v>48184.010000000235</v>
      </c>
      <c r="K341" s="2"/>
      <c r="L341" s="34"/>
      <c r="O341" s="34"/>
    </row>
    <row r="342" spans="1:15">
      <c r="A342" s="5">
        <v>324</v>
      </c>
      <c r="B342" s="23">
        <v>53046</v>
      </c>
      <c r="C342" s="24">
        <v>325</v>
      </c>
      <c r="D342" s="6">
        <v>48184.010000000235</v>
      </c>
      <c r="E342" s="6">
        <v>1435.4</v>
      </c>
      <c r="F342" s="6">
        <v>1250.69</v>
      </c>
      <c r="G342" s="6">
        <v>184.71</v>
      </c>
      <c r="H342" s="6">
        <v>0</v>
      </c>
      <c r="I342" s="6">
        <v>46933.320000000233</v>
      </c>
      <c r="K342" s="2"/>
      <c r="L342" s="34"/>
      <c r="O342" s="34"/>
    </row>
    <row r="343" spans="1:15">
      <c r="A343" s="5">
        <v>325</v>
      </c>
      <c r="B343" s="23">
        <v>53077</v>
      </c>
      <c r="C343" s="24">
        <v>326</v>
      </c>
      <c r="D343" s="6">
        <v>46933.320000000233</v>
      </c>
      <c r="E343" s="6">
        <v>1435.4</v>
      </c>
      <c r="F343" s="6">
        <v>1255.49</v>
      </c>
      <c r="G343" s="6">
        <v>179.91</v>
      </c>
      <c r="H343" s="6">
        <v>0</v>
      </c>
      <c r="I343" s="6">
        <v>45677.830000000235</v>
      </c>
      <c r="K343" s="2"/>
      <c r="L343" s="34"/>
      <c r="O343" s="34"/>
    </row>
    <row r="344" spans="1:15">
      <c r="A344" s="5">
        <v>326</v>
      </c>
      <c r="B344" s="23">
        <v>53107</v>
      </c>
      <c r="C344" s="24">
        <v>327</v>
      </c>
      <c r="D344" s="6">
        <v>45677.830000000235</v>
      </c>
      <c r="E344" s="6">
        <v>1435.4</v>
      </c>
      <c r="F344" s="6">
        <v>1260.3000000000002</v>
      </c>
      <c r="G344" s="6">
        <v>175.1</v>
      </c>
      <c r="H344" s="6">
        <v>0</v>
      </c>
      <c r="I344" s="6">
        <v>44417.530000000232</v>
      </c>
      <c r="K344" s="2"/>
      <c r="L344" s="34"/>
      <c r="O344" s="34"/>
    </row>
    <row r="345" spans="1:15">
      <c r="A345" s="5">
        <v>327</v>
      </c>
      <c r="B345" s="23">
        <v>53138</v>
      </c>
      <c r="C345" s="24">
        <v>328</v>
      </c>
      <c r="D345" s="6">
        <v>44417.530000000232</v>
      </c>
      <c r="E345" s="6">
        <v>1435.4</v>
      </c>
      <c r="F345" s="6">
        <v>1265.1300000000001</v>
      </c>
      <c r="G345" s="6">
        <v>170.27</v>
      </c>
      <c r="H345" s="6">
        <v>0</v>
      </c>
      <c r="I345" s="6">
        <v>43152.400000000234</v>
      </c>
      <c r="K345" s="2"/>
      <c r="L345" s="34"/>
      <c r="O345" s="34"/>
    </row>
    <row r="346" spans="1:15">
      <c r="A346" s="5">
        <v>328</v>
      </c>
      <c r="B346" s="23">
        <v>53168</v>
      </c>
      <c r="C346" s="24">
        <v>329</v>
      </c>
      <c r="D346" s="6">
        <v>43152.400000000234</v>
      </c>
      <c r="E346" s="6">
        <v>1435.4</v>
      </c>
      <c r="F346" s="6">
        <v>1269.98</v>
      </c>
      <c r="G346" s="6">
        <v>165.42</v>
      </c>
      <c r="H346" s="6">
        <v>0</v>
      </c>
      <c r="I346" s="6">
        <v>41882.420000000231</v>
      </c>
      <c r="K346" s="2"/>
      <c r="L346" s="34"/>
      <c r="O346" s="34"/>
    </row>
    <row r="347" spans="1:15">
      <c r="A347" s="5">
        <v>329</v>
      </c>
      <c r="B347" s="23">
        <v>53199</v>
      </c>
      <c r="C347" s="24">
        <v>330</v>
      </c>
      <c r="D347" s="6">
        <v>41882.420000000231</v>
      </c>
      <c r="E347" s="6">
        <v>1435.4</v>
      </c>
      <c r="F347" s="6">
        <v>1274.8500000000001</v>
      </c>
      <c r="G347" s="6">
        <v>160.55000000000001</v>
      </c>
      <c r="H347" s="6">
        <v>0</v>
      </c>
      <c r="I347" s="6">
        <v>40607.570000000233</v>
      </c>
      <c r="K347" s="2"/>
      <c r="L347" s="34"/>
      <c r="O347" s="34"/>
    </row>
    <row r="348" spans="1:15">
      <c r="A348" s="5">
        <v>330</v>
      </c>
      <c r="B348" s="23">
        <v>53230</v>
      </c>
      <c r="C348" s="24">
        <v>331</v>
      </c>
      <c r="D348" s="6">
        <v>40607.570000000233</v>
      </c>
      <c r="E348" s="6">
        <v>1435.4</v>
      </c>
      <c r="F348" s="6">
        <v>1279.74</v>
      </c>
      <c r="G348" s="6">
        <v>155.66</v>
      </c>
      <c r="H348" s="6">
        <v>0</v>
      </c>
      <c r="I348" s="6">
        <v>39327.830000000235</v>
      </c>
      <c r="K348" s="2"/>
      <c r="L348" s="34"/>
      <c r="O348" s="34"/>
    </row>
    <row r="349" spans="1:15">
      <c r="A349" s="5">
        <v>331</v>
      </c>
      <c r="B349" s="23">
        <v>53260</v>
      </c>
      <c r="C349" s="24">
        <v>332</v>
      </c>
      <c r="D349" s="6">
        <v>39327.830000000235</v>
      </c>
      <c r="E349" s="6">
        <v>1435.4</v>
      </c>
      <c r="F349" s="6">
        <v>1284.6400000000001</v>
      </c>
      <c r="G349" s="6">
        <v>150.76</v>
      </c>
      <c r="H349" s="6">
        <v>0</v>
      </c>
      <c r="I349" s="6">
        <v>38043.190000000235</v>
      </c>
      <c r="K349" s="2"/>
      <c r="L349" s="34"/>
      <c r="O349" s="34"/>
    </row>
    <row r="350" spans="1:15">
      <c r="A350" s="5">
        <v>332</v>
      </c>
      <c r="B350" s="23">
        <v>53291</v>
      </c>
      <c r="C350" s="24">
        <v>333</v>
      </c>
      <c r="D350" s="6">
        <v>38043.190000000235</v>
      </c>
      <c r="E350" s="6">
        <v>1435.4</v>
      </c>
      <c r="F350" s="6">
        <v>1289.5700000000002</v>
      </c>
      <c r="G350" s="6">
        <v>145.83000000000001</v>
      </c>
      <c r="H350" s="6">
        <v>0</v>
      </c>
      <c r="I350" s="6">
        <v>36753.620000000235</v>
      </c>
      <c r="K350" s="2"/>
      <c r="L350" s="34"/>
      <c r="O350" s="34"/>
    </row>
    <row r="351" spans="1:15">
      <c r="A351" s="5">
        <v>333</v>
      </c>
      <c r="B351" s="23">
        <v>53321</v>
      </c>
      <c r="C351" s="24">
        <v>334</v>
      </c>
      <c r="D351" s="6">
        <v>36753.620000000235</v>
      </c>
      <c r="E351" s="6">
        <v>1435.4</v>
      </c>
      <c r="F351" s="6">
        <v>1294.5100000000002</v>
      </c>
      <c r="G351" s="6">
        <v>140.88999999999999</v>
      </c>
      <c r="H351" s="6">
        <v>0</v>
      </c>
      <c r="I351" s="6">
        <v>35459.110000000233</v>
      </c>
      <c r="K351" s="2"/>
      <c r="L351" s="34"/>
      <c r="O351" s="34"/>
    </row>
    <row r="352" spans="1:15">
      <c r="A352" s="5">
        <v>334</v>
      </c>
      <c r="B352" s="23">
        <v>53352</v>
      </c>
      <c r="C352" s="24">
        <v>335</v>
      </c>
      <c r="D352" s="6">
        <v>35459.110000000233</v>
      </c>
      <c r="E352" s="6">
        <v>1435.4</v>
      </c>
      <c r="F352" s="6">
        <v>1299.47</v>
      </c>
      <c r="G352" s="6">
        <v>135.93</v>
      </c>
      <c r="H352" s="6">
        <v>0</v>
      </c>
      <c r="I352" s="6">
        <v>34159.640000000232</v>
      </c>
      <c r="K352" s="2"/>
      <c r="L352" s="34"/>
      <c r="O352" s="34"/>
    </row>
    <row r="353" spans="1:15">
      <c r="A353" s="5">
        <v>335</v>
      </c>
      <c r="B353" s="23">
        <v>53383</v>
      </c>
      <c r="C353" s="24">
        <v>336</v>
      </c>
      <c r="D353" s="6">
        <v>34159.640000000232</v>
      </c>
      <c r="E353" s="6">
        <v>1435.4</v>
      </c>
      <c r="F353" s="6">
        <v>1304.45</v>
      </c>
      <c r="G353" s="6">
        <v>130.94999999999999</v>
      </c>
      <c r="H353" s="6">
        <v>0</v>
      </c>
      <c r="I353" s="6">
        <v>32855.190000000235</v>
      </c>
      <c r="K353" s="2"/>
      <c r="L353" s="34"/>
      <c r="O353" s="34"/>
    </row>
    <row r="354" spans="1:15">
      <c r="A354" s="5">
        <v>336</v>
      </c>
      <c r="B354" s="23">
        <v>53411</v>
      </c>
      <c r="C354" s="24">
        <v>337</v>
      </c>
      <c r="D354" s="6">
        <v>32855.190000000235</v>
      </c>
      <c r="E354" s="6">
        <v>1435.4</v>
      </c>
      <c r="F354" s="6">
        <v>1309.46</v>
      </c>
      <c r="G354" s="6">
        <v>125.94</v>
      </c>
      <c r="H354" s="6">
        <v>0</v>
      </c>
      <c r="I354" s="6">
        <v>31545.730000000236</v>
      </c>
      <c r="K354" s="2"/>
      <c r="L354" s="34"/>
      <c r="O354" s="34"/>
    </row>
    <row r="355" spans="1:15">
      <c r="A355" s="5">
        <v>337</v>
      </c>
      <c r="B355" s="23">
        <v>53442</v>
      </c>
      <c r="C355" s="24">
        <v>338</v>
      </c>
      <c r="D355" s="6">
        <v>31545.730000000236</v>
      </c>
      <c r="E355" s="6">
        <v>1435.4</v>
      </c>
      <c r="F355" s="6">
        <v>1314.47</v>
      </c>
      <c r="G355" s="6">
        <v>120.93</v>
      </c>
      <c r="H355" s="6">
        <v>0</v>
      </c>
      <c r="I355" s="6">
        <v>30231.260000000235</v>
      </c>
      <c r="K355" s="2"/>
      <c r="L355" s="34"/>
      <c r="O355" s="34"/>
    </row>
    <row r="356" spans="1:15">
      <c r="A356" s="5">
        <v>338</v>
      </c>
      <c r="B356" s="23">
        <v>53472</v>
      </c>
      <c r="C356" s="24">
        <v>339</v>
      </c>
      <c r="D356" s="6">
        <v>30231.260000000235</v>
      </c>
      <c r="E356" s="6">
        <v>1435.4</v>
      </c>
      <c r="F356" s="6">
        <v>1319.51</v>
      </c>
      <c r="G356" s="6">
        <v>115.89</v>
      </c>
      <c r="H356" s="6">
        <v>0</v>
      </c>
      <c r="I356" s="6">
        <v>28911.750000000236</v>
      </c>
      <c r="K356" s="2"/>
      <c r="L356" s="34"/>
      <c r="O356" s="34"/>
    </row>
    <row r="357" spans="1:15">
      <c r="A357" s="5">
        <v>339</v>
      </c>
      <c r="B357" s="23">
        <v>53503</v>
      </c>
      <c r="C357" s="24">
        <v>340</v>
      </c>
      <c r="D357" s="6">
        <v>28911.750000000236</v>
      </c>
      <c r="E357" s="6">
        <v>1435.4</v>
      </c>
      <c r="F357" s="6">
        <v>1324.5700000000002</v>
      </c>
      <c r="G357" s="6">
        <v>110.83</v>
      </c>
      <c r="H357" s="6">
        <v>0</v>
      </c>
      <c r="I357" s="6">
        <v>27587.180000000237</v>
      </c>
      <c r="K357" s="2"/>
      <c r="L357" s="34"/>
      <c r="O357" s="34"/>
    </row>
    <row r="358" spans="1:15">
      <c r="A358" s="5">
        <v>340</v>
      </c>
      <c r="B358" s="23">
        <v>53533</v>
      </c>
      <c r="C358" s="24">
        <v>341</v>
      </c>
      <c r="D358" s="6">
        <v>27587.180000000237</v>
      </c>
      <c r="E358" s="6">
        <v>1435.4</v>
      </c>
      <c r="F358" s="6">
        <v>1329.65</v>
      </c>
      <c r="G358" s="6">
        <v>105.75</v>
      </c>
      <c r="H358" s="6">
        <v>0</v>
      </c>
      <c r="I358" s="6">
        <v>26257.530000000235</v>
      </c>
      <c r="K358" s="2"/>
      <c r="L358" s="34"/>
      <c r="O358" s="34"/>
    </row>
    <row r="359" spans="1:15">
      <c r="A359" s="5">
        <v>341</v>
      </c>
      <c r="B359" s="23">
        <v>53564</v>
      </c>
      <c r="C359" s="24">
        <v>342</v>
      </c>
      <c r="D359" s="6">
        <v>26257.530000000235</v>
      </c>
      <c r="E359" s="6">
        <v>1435.4</v>
      </c>
      <c r="F359" s="6">
        <v>1334.75</v>
      </c>
      <c r="G359" s="6">
        <v>100.65</v>
      </c>
      <c r="H359" s="6">
        <v>0</v>
      </c>
      <c r="I359" s="6">
        <v>24922.780000000235</v>
      </c>
      <c r="K359" s="2"/>
      <c r="L359" s="34"/>
      <c r="O359" s="34"/>
    </row>
    <row r="360" spans="1:15">
      <c r="A360" s="5">
        <v>342</v>
      </c>
      <c r="B360" s="23">
        <v>53595</v>
      </c>
      <c r="C360" s="24">
        <v>343</v>
      </c>
      <c r="D360" s="6">
        <v>24922.780000000235</v>
      </c>
      <c r="E360" s="6">
        <v>1435.4</v>
      </c>
      <c r="F360" s="6">
        <v>1339.8600000000001</v>
      </c>
      <c r="G360" s="6">
        <v>95.54</v>
      </c>
      <c r="H360" s="6">
        <v>0</v>
      </c>
      <c r="I360" s="6">
        <v>23582.920000000235</v>
      </c>
      <c r="K360" s="2"/>
      <c r="L360" s="34"/>
      <c r="O360" s="34"/>
    </row>
    <row r="361" spans="1:15">
      <c r="A361" s="5">
        <v>343</v>
      </c>
      <c r="B361" s="23">
        <v>53625</v>
      </c>
      <c r="C361" s="24">
        <v>344</v>
      </c>
      <c r="D361" s="6">
        <v>23582.920000000235</v>
      </c>
      <c r="E361" s="6">
        <v>1435.4</v>
      </c>
      <c r="F361" s="6">
        <v>1345</v>
      </c>
      <c r="G361" s="6">
        <v>90.4</v>
      </c>
      <c r="H361" s="6">
        <v>0</v>
      </c>
      <c r="I361" s="6">
        <v>22237.920000000235</v>
      </c>
      <c r="K361" s="2"/>
      <c r="L361" s="34"/>
      <c r="O361" s="34"/>
    </row>
    <row r="362" spans="1:15">
      <c r="A362" s="5">
        <v>344</v>
      </c>
      <c r="B362" s="23">
        <v>53656</v>
      </c>
      <c r="C362" s="24">
        <v>345</v>
      </c>
      <c r="D362" s="6">
        <v>22237.920000000235</v>
      </c>
      <c r="E362" s="6">
        <v>1435.4</v>
      </c>
      <c r="F362" s="6">
        <v>1350.15</v>
      </c>
      <c r="G362" s="6">
        <v>85.25</v>
      </c>
      <c r="H362" s="6">
        <v>0</v>
      </c>
      <c r="I362" s="6">
        <v>20887.770000000233</v>
      </c>
      <c r="K362" s="2"/>
      <c r="L362" s="34"/>
      <c r="O362" s="34"/>
    </row>
    <row r="363" spans="1:15">
      <c r="A363" s="5">
        <v>345</v>
      </c>
      <c r="B363" s="23">
        <v>53686</v>
      </c>
      <c r="C363" s="24">
        <v>346</v>
      </c>
      <c r="D363" s="6">
        <v>20887.770000000233</v>
      </c>
      <c r="E363" s="6">
        <v>1435.4</v>
      </c>
      <c r="F363" s="6">
        <v>1355.3300000000002</v>
      </c>
      <c r="G363" s="6">
        <v>80.069999999999993</v>
      </c>
      <c r="H363" s="6">
        <v>0</v>
      </c>
      <c r="I363" s="6">
        <v>19532.440000000232</v>
      </c>
      <c r="K363" s="2"/>
      <c r="L363" s="34"/>
      <c r="O363" s="34"/>
    </row>
    <row r="364" spans="1:15">
      <c r="A364" s="5">
        <v>346</v>
      </c>
      <c r="B364" s="23">
        <v>53717</v>
      </c>
      <c r="C364" s="24">
        <v>347</v>
      </c>
      <c r="D364" s="6">
        <v>19532.440000000232</v>
      </c>
      <c r="E364" s="6">
        <v>1435.4</v>
      </c>
      <c r="F364" s="6">
        <v>1360.5300000000002</v>
      </c>
      <c r="G364" s="6">
        <v>74.87</v>
      </c>
      <c r="H364" s="6">
        <v>0</v>
      </c>
      <c r="I364" s="6">
        <v>18171.910000000233</v>
      </c>
      <c r="K364" s="2"/>
      <c r="L364" s="34"/>
      <c r="O364" s="34"/>
    </row>
    <row r="365" spans="1:15">
      <c r="A365" s="5">
        <v>347</v>
      </c>
      <c r="B365" s="23">
        <v>53748</v>
      </c>
      <c r="C365" s="24">
        <v>348</v>
      </c>
      <c r="D365" s="6">
        <v>18171.910000000233</v>
      </c>
      <c r="E365" s="6">
        <v>1435.4</v>
      </c>
      <c r="F365" s="6">
        <v>1365.74</v>
      </c>
      <c r="G365" s="6">
        <v>69.66</v>
      </c>
      <c r="H365" s="6">
        <v>0</v>
      </c>
      <c r="I365" s="6">
        <v>16806.170000000231</v>
      </c>
      <c r="K365" s="2"/>
      <c r="L365" s="34"/>
      <c r="O365" s="34"/>
    </row>
    <row r="366" spans="1:15">
      <c r="A366" s="5">
        <v>348</v>
      </c>
      <c r="B366" s="23">
        <v>53776</v>
      </c>
      <c r="C366" s="24">
        <v>349</v>
      </c>
      <c r="D366" s="6">
        <v>16806.170000000231</v>
      </c>
      <c r="E366" s="6">
        <v>1435.4</v>
      </c>
      <c r="F366" s="6">
        <v>1370.98</v>
      </c>
      <c r="G366" s="6">
        <v>64.42</v>
      </c>
      <c r="H366" s="6">
        <v>0</v>
      </c>
      <c r="I366" s="6">
        <v>15435.190000000232</v>
      </c>
      <c r="K366" s="2"/>
      <c r="L366" s="34"/>
      <c r="O366" s="34"/>
    </row>
    <row r="367" spans="1:15">
      <c r="A367" s="5">
        <v>349</v>
      </c>
      <c r="B367" s="23">
        <v>53807</v>
      </c>
      <c r="C367" s="24">
        <v>350</v>
      </c>
      <c r="D367" s="6">
        <v>15435.190000000232</v>
      </c>
      <c r="E367" s="6">
        <v>1435.4</v>
      </c>
      <c r="F367" s="6">
        <v>1376.23</v>
      </c>
      <c r="G367" s="6">
        <v>59.17</v>
      </c>
      <c r="H367" s="6">
        <v>0</v>
      </c>
      <c r="I367" s="6">
        <v>14058.960000000232</v>
      </c>
      <c r="K367" s="2"/>
      <c r="L367" s="34"/>
      <c r="O367" s="34"/>
    </row>
    <row r="368" spans="1:15">
      <c r="A368" s="5">
        <v>350</v>
      </c>
      <c r="B368" s="23">
        <v>53837</v>
      </c>
      <c r="C368" s="24">
        <v>351</v>
      </c>
      <c r="D368" s="6">
        <v>14058.960000000232</v>
      </c>
      <c r="E368" s="6">
        <v>1435.4</v>
      </c>
      <c r="F368" s="6">
        <v>1381.51</v>
      </c>
      <c r="G368" s="6">
        <v>53.89</v>
      </c>
      <c r="H368" s="6">
        <v>0</v>
      </c>
      <c r="I368" s="6">
        <v>12677.450000000232</v>
      </c>
      <c r="K368" s="2"/>
      <c r="L368" s="34"/>
      <c r="O368" s="34"/>
    </row>
    <row r="369" spans="1:15">
      <c r="A369" s="5">
        <v>351</v>
      </c>
      <c r="B369" s="23">
        <v>53868</v>
      </c>
      <c r="C369" s="24">
        <v>352</v>
      </c>
      <c r="D369" s="6">
        <v>12677.450000000232</v>
      </c>
      <c r="E369" s="6">
        <v>1435.4</v>
      </c>
      <c r="F369" s="6">
        <v>1386.8000000000002</v>
      </c>
      <c r="G369" s="6">
        <v>48.6</v>
      </c>
      <c r="H369" s="6">
        <v>0</v>
      </c>
      <c r="I369" s="6">
        <v>11290.650000000231</v>
      </c>
      <c r="K369" s="2"/>
      <c r="L369" s="34"/>
      <c r="O369" s="34"/>
    </row>
    <row r="370" spans="1:15">
      <c r="A370" s="5">
        <v>352</v>
      </c>
      <c r="B370" s="23">
        <v>53898</v>
      </c>
      <c r="C370" s="24">
        <v>353</v>
      </c>
      <c r="D370" s="6">
        <v>11290.650000000231</v>
      </c>
      <c r="E370" s="6">
        <v>1435.4</v>
      </c>
      <c r="F370" s="6">
        <v>1392.1200000000001</v>
      </c>
      <c r="G370" s="6">
        <v>43.28</v>
      </c>
      <c r="H370" s="6">
        <v>0</v>
      </c>
      <c r="I370" s="6">
        <v>9898.5300000002298</v>
      </c>
      <c r="K370" s="2"/>
      <c r="L370" s="34"/>
      <c r="O370" s="34"/>
    </row>
    <row r="371" spans="1:15">
      <c r="A371" s="5">
        <v>353</v>
      </c>
      <c r="B371" s="23">
        <v>53929</v>
      </c>
      <c r="C371" s="24">
        <v>354</v>
      </c>
      <c r="D371" s="6">
        <v>9898.5300000002298</v>
      </c>
      <c r="E371" s="6">
        <v>1435.4</v>
      </c>
      <c r="F371" s="6">
        <v>1397.46</v>
      </c>
      <c r="G371" s="6">
        <v>37.94</v>
      </c>
      <c r="H371" s="6">
        <v>0</v>
      </c>
      <c r="I371" s="6">
        <v>8501.0700000002289</v>
      </c>
      <c r="K371" s="2"/>
      <c r="L371" s="34"/>
      <c r="O371" s="34"/>
    </row>
    <row r="372" spans="1:15">
      <c r="A372" s="5">
        <v>354</v>
      </c>
      <c r="B372" s="23">
        <v>53960</v>
      </c>
      <c r="C372" s="24">
        <v>355</v>
      </c>
      <c r="D372" s="6">
        <v>8501.0700000002289</v>
      </c>
      <c r="E372" s="6">
        <v>1435.4</v>
      </c>
      <c r="F372" s="6">
        <v>1402.8100000000002</v>
      </c>
      <c r="G372" s="6">
        <v>32.590000000000003</v>
      </c>
      <c r="H372" s="6">
        <v>0</v>
      </c>
      <c r="I372" s="6">
        <v>7098.2600000002285</v>
      </c>
      <c r="K372" s="2"/>
      <c r="L372" s="34"/>
      <c r="O372" s="34"/>
    </row>
    <row r="373" spans="1:15">
      <c r="A373" s="5">
        <v>355</v>
      </c>
      <c r="B373" s="23">
        <v>53990</v>
      </c>
      <c r="C373" s="24">
        <v>356</v>
      </c>
      <c r="D373" s="6">
        <v>7098.2600000002285</v>
      </c>
      <c r="E373" s="6">
        <v>1435.4</v>
      </c>
      <c r="F373" s="6">
        <v>1408.19</v>
      </c>
      <c r="G373" s="6">
        <v>27.21</v>
      </c>
      <c r="H373" s="6">
        <v>0</v>
      </c>
      <c r="I373" s="6">
        <v>5690.0700000002289</v>
      </c>
      <c r="K373" s="2"/>
      <c r="L373" s="34"/>
      <c r="O373" s="34"/>
    </row>
    <row r="374" spans="1:15">
      <c r="A374" s="5">
        <v>356</v>
      </c>
      <c r="B374" s="23">
        <v>54021</v>
      </c>
      <c r="C374" s="24">
        <v>357</v>
      </c>
      <c r="D374" s="6">
        <v>5690.0700000002289</v>
      </c>
      <c r="E374" s="6">
        <v>1435.4</v>
      </c>
      <c r="F374" s="6">
        <v>1413.5900000000001</v>
      </c>
      <c r="G374" s="6">
        <v>21.81</v>
      </c>
      <c r="H374" s="6">
        <v>0</v>
      </c>
      <c r="I374" s="6">
        <v>4276.4800000002288</v>
      </c>
      <c r="K374" s="2"/>
      <c r="L374" s="34"/>
      <c r="O374" s="34"/>
    </row>
    <row r="375" spans="1:15">
      <c r="A375" s="5">
        <v>357</v>
      </c>
      <c r="B375" s="23">
        <v>54051</v>
      </c>
      <c r="C375" s="24">
        <v>358</v>
      </c>
      <c r="D375" s="6">
        <v>4276.4800000002288</v>
      </c>
      <c r="E375" s="6">
        <v>1435.4</v>
      </c>
      <c r="F375" s="6">
        <v>1419.01</v>
      </c>
      <c r="G375" s="6">
        <v>16.39</v>
      </c>
      <c r="H375" s="6">
        <v>0</v>
      </c>
      <c r="I375" s="6">
        <v>2857.4700000002285</v>
      </c>
      <c r="K375" s="2"/>
      <c r="L375" s="34"/>
      <c r="O375" s="34"/>
    </row>
    <row r="376" spans="1:15">
      <c r="A376" s="5">
        <v>358</v>
      </c>
      <c r="B376" s="23">
        <v>54082</v>
      </c>
      <c r="C376" s="24">
        <v>359</v>
      </c>
      <c r="D376" s="6">
        <v>2857.4700000002285</v>
      </c>
      <c r="E376" s="6">
        <v>1435.4</v>
      </c>
      <c r="F376" s="6">
        <v>1424.45</v>
      </c>
      <c r="G376" s="6">
        <v>10.95</v>
      </c>
      <c r="H376" s="6">
        <v>0</v>
      </c>
      <c r="I376" s="6">
        <v>1433.0200000002285</v>
      </c>
      <c r="K376" s="2"/>
      <c r="L376" s="34"/>
      <c r="O376" s="34"/>
    </row>
    <row r="377" spans="1:15">
      <c r="A377" s="5">
        <v>359</v>
      </c>
      <c r="B377" s="23">
        <v>54113</v>
      </c>
      <c r="C377" s="24">
        <v>360</v>
      </c>
      <c r="D377" s="6">
        <v>1433.0200000002285</v>
      </c>
      <c r="E377" s="6">
        <v>1435.4</v>
      </c>
      <c r="F377" s="6">
        <v>1429.91</v>
      </c>
      <c r="G377" s="6">
        <v>5.49</v>
      </c>
      <c r="H377" s="6">
        <v>0</v>
      </c>
      <c r="I377" s="6">
        <v>3.1100000002284105</v>
      </c>
      <c r="K377" s="2"/>
      <c r="L377" s="34"/>
      <c r="O377" s="34"/>
    </row>
    <row r="378" spans="1:15">
      <c r="A378" s="5">
        <v>360</v>
      </c>
      <c r="B378" s="23">
        <v>54142</v>
      </c>
      <c r="C378" s="24">
        <v>361</v>
      </c>
      <c r="D378" s="6">
        <v>3.1100000002284105</v>
      </c>
      <c r="E378" s="6">
        <v>3.1200000002284103</v>
      </c>
      <c r="F378" s="6">
        <v>3.1100000002284105</v>
      </c>
      <c r="G378" s="6">
        <v>0.01</v>
      </c>
      <c r="H378" s="6">
        <v>0</v>
      </c>
      <c r="I378" s="6">
        <v>0</v>
      </c>
      <c r="K378" s="2"/>
      <c r="L378" s="34"/>
      <c r="O378" s="34"/>
    </row>
    <row r="379" spans="1:15">
      <c r="B379" s="23"/>
      <c r="C379" s="24"/>
      <c r="H379" s="6"/>
      <c r="I379" s="6"/>
      <c r="K379" s="2"/>
      <c r="L379" s="34"/>
      <c r="O379" s="34"/>
    </row>
    <row r="380" spans="1:15">
      <c r="B380" s="23"/>
      <c r="C380" s="24"/>
      <c r="H380" s="6"/>
      <c r="I380" s="6"/>
      <c r="K380" s="2"/>
      <c r="L380" s="34"/>
      <c r="O380" s="34"/>
    </row>
    <row r="381" spans="1:15">
      <c r="B381" s="23"/>
      <c r="C381" s="24"/>
      <c r="H381" s="6"/>
      <c r="I381" s="6"/>
      <c r="K381" s="2"/>
      <c r="L381" s="34"/>
      <c r="O381" s="34"/>
    </row>
    <row r="382" spans="1:15">
      <c r="B382" s="23"/>
      <c r="C382" s="24"/>
      <c r="H382" s="6"/>
      <c r="I382" s="6"/>
      <c r="K382" s="2"/>
      <c r="L382" s="34"/>
      <c r="O382" s="34"/>
    </row>
    <row r="383" spans="1:15">
      <c r="B383" s="23"/>
      <c r="C383" s="24"/>
      <c r="H383" s="6"/>
      <c r="I383" s="6"/>
      <c r="K383" s="2"/>
      <c r="L383" s="34"/>
      <c r="O383" s="34"/>
    </row>
    <row r="384" spans="1:15">
      <c r="B384" s="23"/>
      <c r="C384" s="24"/>
      <c r="H384" s="6"/>
      <c r="I384" s="6"/>
      <c r="K384" s="2"/>
      <c r="L384" s="34"/>
      <c r="O384" s="34"/>
    </row>
    <row r="385" spans="2:15">
      <c r="B385" s="23"/>
      <c r="C385" s="24"/>
      <c r="H385" s="6"/>
      <c r="I385" s="6"/>
      <c r="K385" s="2"/>
      <c r="L385" s="34"/>
      <c r="O385" s="34"/>
    </row>
    <row r="386" spans="2:15">
      <c r="B386" s="23"/>
      <c r="C386" s="24"/>
      <c r="H386" s="6"/>
      <c r="I386" s="6"/>
      <c r="K386" s="2"/>
      <c r="L386" s="34"/>
      <c r="O386" s="34"/>
    </row>
    <row r="387" spans="2:15">
      <c r="B387" s="23"/>
      <c r="C387" s="24"/>
      <c r="H387" s="6"/>
      <c r="I387" s="6"/>
      <c r="K387" s="2"/>
      <c r="L387" s="34"/>
      <c r="O387" s="34"/>
    </row>
    <row r="388" spans="2:15">
      <c r="B388" s="23"/>
      <c r="C388" s="24"/>
      <c r="H388" s="6"/>
      <c r="I388" s="6"/>
      <c r="K388" s="2"/>
      <c r="L388" s="34"/>
      <c r="O388" s="34"/>
    </row>
    <row r="389" spans="2:15">
      <c r="B389" s="23"/>
      <c r="C389" s="24"/>
      <c r="H389" s="6"/>
      <c r="I389" s="6"/>
      <c r="K389" s="2"/>
      <c r="L389" s="34"/>
      <c r="O389" s="34"/>
    </row>
    <row r="390" spans="2:15">
      <c r="B390" s="23"/>
      <c r="C390" s="24"/>
      <c r="H390" s="6"/>
      <c r="I390" s="6"/>
      <c r="K390" s="2"/>
      <c r="L390" s="34"/>
      <c r="O390" s="34"/>
    </row>
    <row r="391" spans="2:15">
      <c r="B391" s="23"/>
      <c r="C391" s="24"/>
      <c r="H391" s="6"/>
      <c r="I391" s="6"/>
      <c r="K391" s="2"/>
      <c r="L391" s="34"/>
      <c r="O391" s="34"/>
    </row>
    <row r="392" spans="2:15">
      <c r="B392" s="23"/>
      <c r="C392" s="24"/>
      <c r="H392" s="6"/>
      <c r="I392" s="6"/>
      <c r="K392" s="2"/>
      <c r="L392" s="34"/>
      <c r="O392" s="34"/>
    </row>
    <row r="393" spans="2:15">
      <c r="B393" s="23"/>
      <c r="C393" s="24"/>
      <c r="H393" s="6"/>
      <c r="I393" s="6"/>
      <c r="K393" s="2"/>
      <c r="L393" s="34"/>
      <c r="O393" s="34"/>
    </row>
    <row r="394" spans="2:15">
      <c r="B394" s="23"/>
      <c r="C394" s="24"/>
      <c r="H394" s="6"/>
      <c r="I394" s="6"/>
      <c r="K394" s="2"/>
      <c r="L394" s="34"/>
      <c r="O394" s="34"/>
    </row>
    <row r="395" spans="2:15">
      <c r="B395" s="23"/>
      <c r="C395" s="24"/>
      <c r="H395" s="6"/>
      <c r="I395" s="6"/>
      <c r="K395" s="2"/>
      <c r="L395" s="34"/>
      <c r="O395" s="34"/>
    </row>
    <row r="396" spans="2:15">
      <c r="B396" s="23"/>
      <c r="C396" s="24"/>
      <c r="H396" s="6"/>
      <c r="I396" s="6"/>
      <c r="K396" s="2"/>
      <c r="L396" s="34"/>
      <c r="O396" s="34"/>
    </row>
    <row r="397" spans="2:15">
      <c r="B397" s="23"/>
      <c r="C397" s="24"/>
      <c r="H397" s="6"/>
      <c r="I397" s="6"/>
      <c r="K397" s="2"/>
      <c r="L397" s="34"/>
      <c r="O397" s="34"/>
    </row>
    <row r="398" spans="2:15">
      <c r="B398" s="23"/>
      <c r="C398" s="24"/>
      <c r="H398" s="6"/>
      <c r="I398" s="6"/>
      <c r="K398" s="2"/>
      <c r="L398" s="34"/>
      <c r="O398" s="34"/>
    </row>
    <row r="399" spans="2:15">
      <c r="B399" s="23"/>
      <c r="C399" s="24"/>
      <c r="H399" s="6"/>
      <c r="I399" s="6"/>
      <c r="K399" s="2"/>
      <c r="L399" s="34"/>
      <c r="O399" s="34"/>
    </row>
    <row r="400" spans="2:15">
      <c r="B400" s="23"/>
      <c r="C400" s="24"/>
      <c r="H400" s="6"/>
      <c r="I400" s="6"/>
      <c r="K400" s="2"/>
      <c r="L400" s="34"/>
      <c r="O400" s="34"/>
    </row>
    <row r="401" spans="2:15">
      <c r="B401" s="23"/>
      <c r="C401" s="24"/>
      <c r="H401" s="6"/>
      <c r="I401" s="6"/>
      <c r="K401" s="2"/>
      <c r="L401" s="34"/>
      <c r="O401" s="34"/>
    </row>
    <row r="402" spans="2:15">
      <c r="B402" s="23"/>
      <c r="C402" s="24"/>
      <c r="H402" s="6"/>
      <c r="I402" s="6"/>
      <c r="K402" s="2"/>
      <c r="L402" s="34"/>
      <c r="O402" s="34"/>
    </row>
    <row r="403" spans="2:15">
      <c r="B403" s="23"/>
      <c r="C403" s="24"/>
      <c r="H403" s="6"/>
      <c r="I403" s="6"/>
      <c r="K403" s="2"/>
      <c r="L403" s="34"/>
      <c r="O403" s="34"/>
    </row>
    <row r="404" spans="2:15">
      <c r="B404" s="23"/>
      <c r="C404" s="24"/>
      <c r="H404" s="6"/>
      <c r="I404" s="6"/>
      <c r="K404" s="2"/>
      <c r="L404" s="34"/>
      <c r="O404" s="34"/>
    </row>
    <row r="405" spans="2:15">
      <c r="B405" s="23"/>
      <c r="C405" s="24"/>
      <c r="H405" s="6"/>
      <c r="I405" s="6"/>
      <c r="K405" s="2"/>
      <c r="L405" s="34"/>
      <c r="O405" s="34"/>
    </row>
    <row r="406" spans="2:15">
      <c r="B406" s="23"/>
      <c r="C406" s="24"/>
      <c r="H406" s="6"/>
      <c r="I406" s="6"/>
      <c r="K406" s="2"/>
      <c r="L406" s="34"/>
      <c r="O406" s="34"/>
    </row>
    <row r="407" spans="2:15">
      <c r="B407" s="23"/>
      <c r="C407" s="24"/>
      <c r="H407" s="6"/>
      <c r="I407" s="6"/>
      <c r="K407" s="2"/>
      <c r="L407" s="34"/>
      <c r="O407" s="34"/>
    </row>
    <row r="408" spans="2:15">
      <c r="B408" s="23"/>
      <c r="C408" s="24"/>
      <c r="H408" s="6"/>
      <c r="I408" s="6"/>
      <c r="K408" s="2"/>
      <c r="L408" s="34"/>
      <c r="O408" s="34"/>
    </row>
    <row r="409" spans="2:15">
      <c r="B409" s="23"/>
      <c r="C409" s="24"/>
      <c r="H409" s="6"/>
      <c r="I409" s="6"/>
      <c r="K409" s="2"/>
      <c r="L409" s="34"/>
      <c r="O409" s="34"/>
    </row>
    <row r="410" spans="2:15">
      <c r="B410" s="23"/>
      <c r="C410" s="24"/>
      <c r="H410" s="6"/>
      <c r="I410" s="6"/>
      <c r="K410" s="2"/>
      <c r="L410" s="34"/>
      <c r="O410" s="34"/>
    </row>
    <row r="411" spans="2:15">
      <c r="B411" s="23"/>
      <c r="C411" s="24"/>
      <c r="H411" s="6"/>
      <c r="I411" s="6"/>
      <c r="K411" s="2"/>
      <c r="L411" s="34"/>
      <c r="O411" s="34"/>
    </row>
    <row r="412" spans="2:15">
      <c r="B412" s="23"/>
      <c r="C412" s="24"/>
      <c r="H412" s="6"/>
      <c r="I412" s="6"/>
      <c r="K412" s="2"/>
      <c r="L412" s="34"/>
      <c r="O412" s="34"/>
    </row>
    <row r="413" spans="2:15">
      <c r="B413" s="23"/>
      <c r="C413" s="24"/>
      <c r="H413" s="6"/>
      <c r="I413" s="6"/>
      <c r="K413" s="2"/>
      <c r="L413" s="34"/>
      <c r="O413" s="34"/>
    </row>
    <row r="414" spans="2:15">
      <c r="B414" s="23"/>
      <c r="C414" s="24"/>
      <c r="H414" s="6"/>
      <c r="I414" s="6"/>
      <c r="K414" s="2"/>
      <c r="L414" s="34"/>
      <c r="O414" s="34"/>
    </row>
    <row r="415" spans="2:15">
      <c r="B415" s="23"/>
      <c r="C415" s="24"/>
      <c r="H415" s="6"/>
      <c r="I415" s="6"/>
      <c r="K415" s="2"/>
      <c r="L415" s="34"/>
      <c r="O415" s="34"/>
    </row>
    <row r="416" spans="2:15">
      <c r="B416" s="23"/>
      <c r="C416" s="24"/>
      <c r="H416" s="6"/>
      <c r="I416" s="6"/>
      <c r="K416" s="2"/>
      <c r="L416" s="34"/>
      <c r="O416" s="34"/>
    </row>
    <row r="417" spans="2:15">
      <c r="B417" s="23"/>
      <c r="C417" s="24"/>
      <c r="H417" s="6"/>
      <c r="I417" s="6"/>
      <c r="K417" s="2"/>
      <c r="L417" s="34"/>
      <c r="O417" s="34"/>
    </row>
    <row r="418" spans="2:15">
      <c r="B418" s="23"/>
      <c r="C418" s="24"/>
      <c r="H418" s="6"/>
      <c r="I418" s="6"/>
      <c r="K418" s="2"/>
      <c r="L418" s="34"/>
      <c r="O418" s="34"/>
    </row>
    <row r="419" spans="2:15">
      <c r="B419" s="23"/>
      <c r="C419" s="24"/>
      <c r="H419" s="6"/>
      <c r="I419" s="6"/>
      <c r="K419" s="2"/>
      <c r="L419" s="34"/>
      <c r="O419" s="34"/>
    </row>
    <row r="420" spans="2:15">
      <c r="B420" s="23"/>
      <c r="C420" s="24"/>
      <c r="H420" s="6"/>
      <c r="I420" s="6"/>
      <c r="K420" s="2"/>
      <c r="L420" s="34"/>
      <c r="O420" s="34"/>
    </row>
    <row r="421" spans="2:15">
      <c r="B421" s="23"/>
      <c r="C421" s="24"/>
      <c r="H421" s="6"/>
      <c r="I421" s="6"/>
      <c r="K421" s="2"/>
      <c r="L421" s="34"/>
      <c r="O421" s="34"/>
    </row>
    <row r="422" spans="2:15">
      <c r="B422" s="23"/>
      <c r="C422" s="24"/>
      <c r="H422" s="6"/>
      <c r="I422" s="6"/>
      <c r="K422" s="2"/>
      <c r="L422" s="34"/>
      <c r="O422" s="34"/>
    </row>
    <row r="423" spans="2:15">
      <c r="B423" s="23"/>
      <c r="C423" s="24"/>
      <c r="H423" s="6"/>
      <c r="I423" s="6"/>
      <c r="K423" s="2"/>
      <c r="L423" s="34"/>
      <c r="O423" s="34"/>
    </row>
    <row r="424" spans="2:15">
      <c r="B424" s="23"/>
      <c r="C424" s="24"/>
      <c r="H424" s="6"/>
      <c r="I424" s="6"/>
      <c r="K424" s="2"/>
      <c r="L424" s="34"/>
      <c r="O424" s="34"/>
    </row>
    <row r="425" spans="2:15">
      <c r="B425" s="23"/>
      <c r="C425" s="24"/>
      <c r="H425" s="6"/>
      <c r="I425" s="6"/>
      <c r="K425" s="2"/>
      <c r="L425" s="34"/>
      <c r="O425" s="34"/>
    </row>
    <row r="426" spans="2:15">
      <c r="B426" s="23"/>
      <c r="C426" s="24"/>
      <c r="H426" s="6"/>
      <c r="I426" s="6"/>
      <c r="K426" s="2"/>
      <c r="L426" s="34"/>
      <c r="O426" s="34"/>
    </row>
    <row r="427" spans="2:15">
      <c r="B427" s="23"/>
      <c r="C427" s="24"/>
      <c r="H427" s="6"/>
      <c r="I427" s="6"/>
      <c r="K427" s="2"/>
      <c r="L427" s="34"/>
      <c r="O427" s="34"/>
    </row>
    <row r="428" spans="2:15">
      <c r="B428" s="23"/>
      <c r="C428" s="24"/>
      <c r="H428" s="6"/>
      <c r="I428" s="6"/>
      <c r="K428" s="2"/>
      <c r="L428" s="34"/>
      <c r="O428" s="34"/>
    </row>
    <row r="429" spans="2:15">
      <c r="B429" s="23"/>
      <c r="C429" s="24"/>
      <c r="H429" s="6"/>
      <c r="I429" s="6"/>
      <c r="K429" s="2"/>
      <c r="L429" s="34"/>
      <c r="O429" s="34"/>
    </row>
    <row r="430" spans="2:15">
      <c r="B430" s="23"/>
      <c r="C430" s="24"/>
      <c r="H430" s="6"/>
      <c r="I430" s="6"/>
      <c r="K430" s="2"/>
      <c r="L430" s="34"/>
      <c r="O430" s="34"/>
    </row>
    <row r="431" spans="2:15">
      <c r="B431" s="23"/>
      <c r="C431" s="24"/>
      <c r="H431" s="6"/>
      <c r="I431" s="6"/>
      <c r="K431" s="2"/>
      <c r="L431" s="34"/>
      <c r="O431" s="34"/>
    </row>
    <row r="432" spans="2:15">
      <c r="B432" s="23"/>
      <c r="C432" s="24"/>
      <c r="H432" s="6"/>
      <c r="I432" s="6"/>
      <c r="K432" s="2"/>
      <c r="L432" s="34"/>
      <c r="O432" s="34"/>
    </row>
    <row r="433" spans="2:15">
      <c r="B433" s="23"/>
      <c r="C433" s="24"/>
      <c r="H433" s="6"/>
      <c r="I433" s="6"/>
      <c r="K433" s="2"/>
      <c r="L433" s="34"/>
      <c r="O433" s="34"/>
    </row>
    <row r="434" spans="2:15">
      <c r="B434" s="23"/>
      <c r="C434" s="24"/>
      <c r="H434" s="6"/>
      <c r="I434" s="6"/>
      <c r="K434" s="2"/>
      <c r="L434" s="34"/>
      <c r="O434" s="34"/>
    </row>
    <row r="435" spans="2:15">
      <c r="B435" s="23"/>
      <c r="C435" s="24"/>
      <c r="H435" s="6"/>
      <c r="I435" s="6"/>
      <c r="K435" s="2"/>
      <c r="L435" s="34"/>
      <c r="O435" s="34"/>
    </row>
    <row r="436" spans="2:15">
      <c r="B436" s="23"/>
      <c r="C436" s="24"/>
      <c r="H436" s="6"/>
      <c r="I436" s="6"/>
      <c r="K436" s="2"/>
      <c r="L436" s="34"/>
      <c r="O436" s="34"/>
    </row>
    <row r="437" spans="2:15">
      <c r="B437" s="23"/>
      <c r="C437" s="24"/>
      <c r="H437" s="6"/>
      <c r="I437" s="6"/>
      <c r="K437" s="2"/>
      <c r="L437" s="34"/>
      <c r="O437" s="34"/>
    </row>
    <row r="438" spans="2:15">
      <c r="B438" s="23"/>
      <c r="C438" s="24"/>
      <c r="H438" s="6"/>
      <c r="I438" s="6"/>
      <c r="K438" s="2"/>
      <c r="L438" s="34"/>
      <c r="O438" s="34"/>
    </row>
    <row r="439" spans="2:15">
      <c r="B439" s="23"/>
      <c r="C439" s="24"/>
      <c r="H439" s="6"/>
      <c r="I439" s="6"/>
      <c r="K439" s="2"/>
      <c r="L439" s="34"/>
      <c r="O439" s="34"/>
    </row>
    <row r="440" spans="2:15">
      <c r="B440" s="23"/>
      <c r="C440" s="24"/>
      <c r="H440" s="6"/>
      <c r="I440" s="6"/>
      <c r="K440" s="2"/>
      <c r="L440" s="34"/>
      <c r="O440" s="34"/>
    </row>
    <row r="441" spans="2:15">
      <c r="B441" s="23"/>
      <c r="C441" s="24"/>
      <c r="H441" s="6"/>
      <c r="I441" s="6"/>
      <c r="K441" s="2"/>
      <c r="L441" s="34"/>
      <c r="O441" s="34"/>
    </row>
    <row r="442" spans="2:15">
      <c r="B442" s="23"/>
      <c r="C442" s="24"/>
      <c r="H442" s="6"/>
      <c r="I442" s="6"/>
      <c r="K442" s="2"/>
      <c r="L442" s="34"/>
      <c r="O442" s="34"/>
    </row>
    <row r="443" spans="2:15">
      <c r="L443" s="34"/>
      <c r="O443" s="34"/>
    </row>
    <row r="444" spans="2:15">
      <c r="L444" s="34"/>
      <c r="O444" s="34"/>
    </row>
    <row r="445" spans="2:15">
      <c r="L445" s="34"/>
      <c r="O445" s="34"/>
    </row>
    <row r="446" spans="2:15">
      <c r="L446" s="34"/>
      <c r="O446" s="34"/>
    </row>
    <row r="447" spans="2:15">
      <c r="L447" s="34"/>
      <c r="O447" s="34"/>
    </row>
    <row r="448" spans="2:15">
      <c r="L448" s="34"/>
      <c r="O448" s="34"/>
    </row>
    <row r="449" spans="12:15">
      <c r="L449" s="34"/>
      <c r="O449" s="34"/>
    </row>
    <row r="450" spans="12:15">
      <c r="L450" s="34"/>
      <c r="O450" s="34"/>
    </row>
    <row r="451" spans="12:15">
      <c r="L451" s="34"/>
      <c r="O451" s="34"/>
    </row>
    <row r="452" spans="12:15">
      <c r="L452" s="34"/>
      <c r="O452" s="34"/>
    </row>
    <row r="453" spans="12:15">
      <c r="L453" s="34"/>
      <c r="O453" s="34"/>
    </row>
    <row r="454" spans="12:15">
      <c r="L454" s="34"/>
      <c r="O454" s="34"/>
    </row>
    <row r="455" spans="12:15">
      <c r="L455" s="34"/>
      <c r="O455" s="34"/>
    </row>
    <row r="456" spans="12:15">
      <c r="L456" s="34"/>
      <c r="O456" s="34"/>
    </row>
    <row r="457" spans="12:15">
      <c r="L457" s="34"/>
      <c r="O457" s="34"/>
    </row>
    <row r="458" spans="12:15">
      <c r="L458" s="34"/>
      <c r="O458" s="34"/>
    </row>
    <row r="459" spans="12:15">
      <c r="L459" s="34"/>
      <c r="O459" s="34"/>
    </row>
    <row r="460" spans="12:15">
      <c r="L460" s="34"/>
      <c r="O460" s="34"/>
    </row>
    <row r="461" spans="12:15">
      <c r="L461" s="34"/>
      <c r="O461" s="34"/>
    </row>
    <row r="462" spans="12:15">
      <c r="L462" s="34"/>
      <c r="O462" s="34"/>
    </row>
    <row r="463" spans="12:15">
      <c r="L463" s="34"/>
      <c r="O463" s="34"/>
    </row>
    <row r="464" spans="12:15">
      <c r="L464" s="34"/>
      <c r="O464" s="34"/>
    </row>
    <row r="465" spans="12:15">
      <c r="L465" s="34"/>
      <c r="O465" s="34"/>
    </row>
    <row r="466" spans="12:15">
      <c r="L466" s="34"/>
      <c r="O466" s="34"/>
    </row>
    <row r="467" spans="12:15">
      <c r="L467" s="34"/>
      <c r="O467" s="34"/>
    </row>
    <row r="468" spans="12:15">
      <c r="L468" s="34"/>
      <c r="O468" s="34"/>
    </row>
    <row r="469" spans="12:15">
      <c r="L469" s="34"/>
      <c r="O469" s="34"/>
    </row>
    <row r="470" spans="12:15">
      <c r="L470" s="34"/>
      <c r="O470" s="34"/>
    </row>
    <row r="471" spans="12:15">
      <c r="L471" s="34"/>
      <c r="O471" s="34"/>
    </row>
    <row r="472" spans="12:15">
      <c r="L472" s="34"/>
      <c r="O472" s="34"/>
    </row>
    <row r="473" spans="12:15">
      <c r="L473" s="34"/>
      <c r="O473" s="34"/>
    </row>
    <row r="474" spans="12:15">
      <c r="L474" s="34"/>
      <c r="O474" s="34"/>
    </row>
    <row r="475" spans="12:15">
      <c r="L475" s="34"/>
      <c r="O475" s="34"/>
    </row>
    <row r="476" spans="12:15">
      <c r="L476" s="34"/>
      <c r="O476" s="34"/>
    </row>
    <row r="477" spans="12:15">
      <c r="L477" s="34"/>
      <c r="O477" s="34"/>
    </row>
    <row r="478" spans="12:15">
      <c r="L478" s="34"/>
      <c r="O478" s="34"/>
    </row>
    <row r="479" spans="12:15">
      <c r="L479" s="34"/>
      <c r="O479" s="34"/>
    </row>
    <row r="480" spans="12:15">
      <c r="L480" s="34"/>
      <c r="O480" s="34"/>
    </row>
    <row r="481" spans="12:15">
      <c r="L481" s="34"/>
      <c r="O481" s="34"/>
    </row>
    <row r="482" spans="12:15">
      <c r="L482" s="34"/>
      <c r="O482" s="34"/>
    </row>
    <row r="483" spans="12:15">
      <c r="L483" s="34"/>
      <c r="O483" s="34"/>
    </row>
    <row r="484" spans="12:15">
      <c r="L484" s="34"/>
      <c r="O484" s="34"/>
    </row>
    <row r="485" spans="12:15">
      <c r="L485" s="34"/>
      <c r="O485" s="34"/>
    </row>
    <row r="486" spans="12:15">
      <c r="L486" s="34"/>
      <c r="O486" s="34"/>
    </row>
    <row r="487" spans="12:15">
      <c r="L487" s="34"/>
      <c r="O487" s="34"/>
    </row>
    <row r="488" spans="12:15">
      <c r="L488" s="34"/>
      <c r="O488" s="34"/>
    </row>
    <row r="489" spans="12:15">
      <c r="L489" s="34"/>
      <c r="O489" s="34"/>
    </row>
    <row r="490" spans="12:15">
      <c r="L490" s="34"/>
      <c r="O490" s="34"/>
    </row>
    <row r="491" spans="12:15">
      <c r="L491" s="34"/>
      <c r="O491" s="34"/>
    </row>
    <row r="492" spans="12:15">
      <c r="L492" s="34"/>
      <c r="O492" s="34"/>
    </row>
    <row r="493" spans="12:15">
      <c r="L493" s="34"/>
      <c r="O493" s="34"/>
    </row>
    <row r="494" spans="12:15">
      <c r="L494" s="34"/>
      <c r="O494" s="34"/>
    </row>
    <row r="495" spans="12:15">
      <c r="L495" s="34"/>
      <c r="O495" s="34"/>
    </row>
    <row r="496" spans="12:15">
      <c r="L496" s="34"/>
      <c r="O496" s="34"/>
    </row>
    <row r="497" spans="12:15">
      <c r="L497" s="34"/>
      <c r="O497" s="34"/>
    </row>
    <row r="498" spans="12:15">
      <c r="L498" s="34"/>
      <c r="O498" s="34"/>
    </row>
    <row r="499" spans="12:15">
      <c r="L499" s="34"/>
      <c r="O499" s="34"/>
    </row>
    <row r="500" spans="12:15">
      <c r="L500" s="34"/>
      <c r="O500" s="34"/>
    </row>
    <row r="501" spans="12:15">
      <c r="L501" s="34"/>
      <c r="O501" s="34"/>
    </row>
    <row r="502" spans="12:15">
      <c r="L502" s="34"/>
      <c r="O502" s="34"/>
    </row>
    <row r="503" spans="12:15">
      <c r="L503" s="34"/>
      <c r="O503" s="34"/>
    </row>
    <row r="504" spans="12:15">
      <c r="L504" s="34"/>
      <c r="O504" s="34"/>
    </row>
    <row r="505" spans="12:15">
      <c r="L505" s="34"/>
      <c r="O505" s="34"/>
    </row>
    <row r="506" spans="12:15">
      <c r="L506" s="34"/>
      <c r="O506" s="34"/>
    </row>
    <row r="507" spans="12:15">
      <c r="L507" s="34"/>
      <c r="O507" s="34"/>
    </row>
    <row r="508" spans="12:15">
      <c r="L508" s="34"/>
      <c r="O508" s="34"/>
    </row>
    <row r="509" spans="12:15">
      <c r="L509" s="34"/>
      <c r="O509" s="34"/>
    </row>
    <row r="510" spans="12:15">
      <c r="L510" s="34"/>
      <c r="O510" s="34"/>
    </row>
    <row r="511" spans="12:15">
      <c r="L511" s="34"/>
      <c r="O511" s="34"/>
    </row>
    <row r="512" spans="12:15">
      <c r="L512" s="34"/>
      <c r="O512" s="34"/>
    </row>
    <row r="513" spans="12:15">
      <c r="L513" s="34"/>
      <c r="O513" s="34"/>
    </row>
    <row r="514" spans="12:15">
      <c r="L514" s="34"/>
      <c r="O514" s="34"/>
    </row>
    <row r="515" spans="12:15">
      <c r="L515" s="34"/>
      <c r="O515" s="34"/>
    </row>
    <row r="516" spans="12:15">
      <c r="L516" s="34"/>
      <c r="O516" s="34"/>
    </row>
    <row r="517" spans="12:15">
      <c r="L517" s="34"/>
      <c r="O517" s="34"/>
    </row>
    <row r="518" spans="12:15">
      <c r="L518" s="34"/>
      <c r="O518" s="34"/>
    </row>
    <row r="519" spans="12:15">
      <c r="L519" s="34"/>
      <c r="O519" s="34"/>
    </row>
    <row r="520" spans="12:15">
      <c r="L520" s="34"/>
      <c r="O520" s="34"/>
    </row>
    <row r="521" spans="12:15">
      <c r="L521" s="34"/>
      <c r="O521" s="34"/>
    </row>
    <row r="522" spans="12:15">
      <c r="L522" s="34"/>
      <c r="O522" s="34"/>
    </row>
    <row r="523" spans="12:15">
      <c r="L523" s="34"/>
      <c r="O523" s="34"/>
    </row>
    <row r="524" spans="12:15">
      <c r="L524" s="34"/>
      <c r="O524" s="34"/>
    </row>
    <row r="525" spans="12:15">
      <c r="L525" s="34"/>
      <c r="O525" s="34"/>
    </row>
    <row r="526" spans="12:15">
      <c r="L526" s="34"/>
      <c r="O526" s="34"/>
    </row>
    <row r="527" spans="12:15">
      <c r="L527" s="34"/>
      <c r="O527" s="34"/>
    </row>
    <row r="528" spans="12:15">
      <c r="L528" s="34"/>
      <c r="O528" s="34"/>
    </row>
    <row r="529" spans="12:15">
      <c r="L529" s="34"/>
      <c r="O529" s="34"/>
    </row>
    <row r="530" spans="12:15">
      <c r="L530" s="34"/>
      <c r="O530" s="34"/>
    </row>
    <row r="531" spans="12:15">
      <c r="L531" s="34"/>
      <c r="O531" s="34"/>
    </row>
    <row r="532" spans="12:15">
      <c r="L532" s="34"/>
      <c r="O532" s="34"/>
    </row>
    <row r="533" spans="12:15">
      <c r="L533" s="34"/>
      <c r="O533" s="34"/>
    </row>
    <row r="534" spans="12:15">
      <c r="L534" s="34"/>
      <c r="O534" s="34"/>
    </row>
    <row r="535" spans="12:15">
      <c r="L535" s="34"/>
      <c r="O535" s="34"/>
    </row>
    <row r="536" spans="12:15">
      <c r="L536" s="34"/>
      <c r="O536" s="34"/>
    </row>
    <row r="537" spans="12:15">
      <c r="L537" s="34"/>
      <c r="O537" s="34"/>
    </row>
    <row r="538" spans="12:15">
      <c r="L538" s="34"/>
      <c r="O538" s="34"/>
    </row>
    <row r="539" spans="12:15">
      <c r="L539" s="34"/>
      <c r="O539" s="34"/>
    </row>
    <row r="540" spans="12:15">
      <c r="L540" s="34"/>
      <c r="O540" s="34"/>
    </row>
    <row r="541" spans="12:15">
      <c r="L541" s="34"/>
      <c r="O541" s="34"/>
    </row>
    <row r="542" spans="12:15">
      <c r="L542" s="34"/>
      <c r="O542" s="34"/>
    </row>
    <row r="543" spans="12:15">
      <c r="L543" s="34"/>
      <c r="O543" s="34"/>
    </row>
    <row r="544" spans="12:15">
      <c r="L544" s="34"/>
      <c r="O544" s="34"/>
    </row>
    <row r="545" spans="12:15">
      <c r="L545" s="34"/>
      <c r="O545" s="34"/>
    </row>
    <row r="546" spans="12:15">
      <c r="L546" s="34"/>
      <c r="O546" s="34"/>
    </row>
    <row r="547" spans="12:15">
      <c r="L547" s="34"/>
      <c r="O547" s="34"/>
    </row>
    <row r="548" spans="12:15">
      <c r="L548" s="34"/>
      <c r="O548" s="34"/>
    </row>
    <row r="549" spans="12:15">
      <c r="L549" s="34"/>
      <c r="O549" s="34"/>
    </row>
    <row r="550" spans="12:15">
      <c r="L550" s="34"/>
      <c r="O550" s="34"/>
    </row>
    <row r="551" spans="12:15">
      <c r="L551" s="34"/>
      <c r="O551" s="34"/>
    </row>
    <row r="552" spans="12:15">
      <c r="L552" s="34"/>
      <c r="O552" s="34"/>
    </row>
    <row r="553" spans="12:15">
      <c r="L553" s="34"/>
      <c r="O553" s="34"/>
    </row>
    <row r="554" spans="12:15">
      <c r="L554" s="34"/>
      <c r="O554" s="34"/>
    </row>
    <row r="555" spans="12:15">
      <c r="L555" s="34"/>
      <c r="O555" s="34"/>
    </row>
    <row r="556" spans="12:15">
      <c r="L556" s="34"/>
      <c r="O556" s="34"/>
    </row>
    <row r="557" spans="12:15">
      <c r="L557" s="34"/>
      <c r="O557" s="34"/>
    </row>
    <row r="558" spans="12:15">
      <c r="L558" s="34"/>
      <c r="O558" s="34"/>
    </row>
    <row r="559" spans="12:15">
      <c r="L559" s="34"/>
      <c r="O559" s="34"/>
    </row>
    <row r="560" spans="12:15">
      <c r="L560" s="34"/>
      <c r="O560" s="34"/>
    </row>
    <row r="561" spans="12:15">
      <c r="L561" s="34"/>
      <c r="O561" s="34"/>
    </row>
    <row r="562" spans="12:15">
      <c r="L562" s="34"/>
      <c r="O562" s="34"/>
    </row>
    <row r="563" spans="12:15">
      <c r="L563" s="34"/>
      <c r="O563" s="34"/>
    </row>
    <row r="564" spans="12:15">
      <c r="L564" s="34"/>
      <c r="O564" s="34"/>
    </row>
    <row r="565" spans="12:15">
      <c r="L565" s="34"/>
      <c r="O565" s="34"/>
    </row>
    <row r="566" spans="12:15">
      <c r="L566" s="34"/>
      <c r="O566" s="34"/>
    </row>
    <row r="567" spans="12:15">
      <c r="L567" s="34"/>
      <c r="O567" s="34"/>
    </row>
    <row r="568" spans="12:15">
      <c r="L568" s="34"/>
      <c r="O568" s="34"/>
    </row>
    <row r="569" spans="12:15">
      <c r="L569" s="34"/>
      <c r="O569" s="34"/>
    </row>
    <row r="570" spans="12:15">
      <c r="L570" s="34"/>
      <c r="O570" s="34"/>
    </row>
    <row r="571" spans="12:15">
      <c r="L571" s="34"/>
      <c r="O571" s="34"/>
    </row>
    <row r="572" spans="12:15">
      <c r="L572" s="34"/>
      <c r="O572" s="34"/>
    </row>
    <row r="573" spans="12:15">
      <c r="L573" s="34"/>
      <c r="O573" s="34"/>
    </row>
    <row r="574" spans="12:15">
      <c r="L574" s="34"/>
      <c r="O574" s="34"/>
    </row>
    <row r="575" spans="12:15">
      <c r="L575" s="34"/>
      <c r="O575" s="34"/>
    </row>
    <row r="576" spans="12:15">
      <c r="L576" s="34"/>
      <c r="O576" s="34"/>
    </row>
    <row r="577" spans="12:15">
      <c r="L577" s="34"/>
      <c r="O577" s="34"/>
    </row>
    <row r="578" spans="12:15">
      <c r="L578" s="34"/>
      <c r="O578" s="34"/>
    </row>
    <row r="579" spans="12:15">
      <c r="L579" s="34"/>
      <c r="O579" s="34"/>
    </row>
    <row r="580" spans="12:15">
      <c r="L580" s="34"/>
      <c r="O580" s="34"/>
    </row>
    <row r="581" spans="12:15">
      <c r="L581" s="34"/>
      <c r="O581" s="34"/>
    </row>
    <row r="582" spans="12:15">
      <c r="L582" s="34"/>
    </row>
    <row r="583" spans="12:15">
      <c r="L583" s="34"/>
    </row>
    <row r="584" spans="12:15">
      <c r="L584" s="34"/>
    </row>
    <row r="585" spans="12:15">
      <c r="L585" s="34"/>
    </row>
    <row r="586" spans="12:15">
      <c r="L586" s="34"/>
    </row>
    <row r="587" spans="12:15">
      <c r="L587" s="34"/>
    </row>
    <row r="588" spans="12:15">
      <c r="L588" s="34"/>
    </row>
    <row r="589" spans="12:15">
      <c r="L589" s="34"/>
    </row>
    <row r="590" spans="12:15">
      <c r="L590" s="34"/>
    </row>
    <row r="591" spans="12:15">
      <c r="L591" s="34"/>
    </row>
    <row r="592" spans="12:15">
      <c r="L592" s="34"/>
    </row>
    <row r="593" spans="12:12">
      <c r="L593" s="34"/>
    </row>
    <row r="594" spans="12:12">
      <c r="L594" s="34"/>
    </row>
    <row r="595" spans="12:12">
      <c r="L595" s="34"/>
    </row>
    <row r="596" spans="12:12">
      <c r="L596" s="34"/>
    </row>
    <row r="597" spans="12:12">
      <c r="L597" s="34"/>
    </row>
    <row r="598" spans="12:12">
      <c r="L598" s="34"/>
    </row>
    <row r="599" spans="12:12">
      <c r="L599" s="34"/>
    </row>
    <row r="600" spans="12:12">
      <c r="L600" s="34"/>
    </row>
    <row r="601" spans="12:12">
      <c r="L601" s="34"/>
    </row>
    <row r="602" spans="12:12">
      <c r="L602" s="34"/>
    </row>
    <row r="603" spans="12:12">
      <c r="L603" s="34"/>
    </row>
    <row r="604" spans="12:12">
      <c r="L604" s="34"/>
    </row>
    <row r="605" spans="12:12">
      <c r="L605" s="34"/>
    </row>
    <row r="606" spans="12:12">
      <c r="L606" s="34"/>
    </row>
    <row r="607" spans="12:12">
      <c r="L607" s="34"/>
    </row>
    <row r="608" spans="12:12">
      <c r="L608" s="34"/>
    </row>
    <row r="609" spans="12:12">
      <c r="L609" s="34"/>
    </row>
    <row r="610" spans="12:12">
      <c r="L610" s="34"/>
    </row>
    <row r="611" spans="12:12">
      <c r="L611" s="34"/>
    </row>
    <row r="612" spans="12:12">
      <c r="L612" s="34"/>
    </row>
    <row r="613" spans="12:12">
      <c r="L613" s="34"/>
    </row>
    <row r="614" spans="12:12">
      <c r="L614" s="34"/>
    </row>
    <row r="615" spans="12:12">
      <c r="L615" s="34"/>
    </row>
    <row r="616" spans="12:12">
      <c r="L616" s="34"/>
    </row>
    <row r="617" spans="12:12">
      <c r="L617" s="34"/>
    </row>
    <row r="618" spans="12:12">
      <c r="L618" s="34"/>
    </row>
    <row r="619" spans="12:12">
      <c r="L619" s="34"/>
    </row>
    <row r="620" spans="12:12">
      <c r="L620" s="34"/>
    </row>
    <row r="621" spans="12:12">
      <c r="L621" s="34"/>
    </row>
    <row r="622" spans="12:12">
      <c r="L622" s="34"/>
    </row>
    <row r="623" spans="12:12">
      <c r="L623" s="34"/>
    </row>
    <row r="624" spans="12:12">
      <c r="L624" s="34"/>
    </row>
    <row r="625" spans="12:12">
      <c r="L625" s="34"/>
    </row>
    <row r="626" spans="12:12">
      <c r="L626" s="34"/>
    </row>
    <row r="627" spans="12:12">
      <c r="L627" s="34"/>
    </row>
    <row r="628" spans="12:12">
      <c r="L628" s="34"/>
    </row>
    <row r="629" spans="12:12">
      <c r="L629" s="34"/>
    </row>
    <row r="630" spans="12:12">
      <c r="L630" s="34"/>
    </row>
    <row r="631" spans="12:12">
      <c r="L631" s="34"/>
    </row>
    <row r="632" spans="12:12">
      <c r="L632" s="34"/>
    </row>
    <row r="633" spans="12:12">
      <c r="L633" s="34"/>
    </row>
    <row r="634" spans="12:12">
      <c r="L634" s="34"/>
    </row>
    <row r="635" spans="12:12">
      <c r="L635" s="34"/>
    </row>
    <row r="636" spans="12:12">
      <c r="L636" s="34"/>
    </row>
    <row r="637" spans="12:12">
      <c r="L637" s="34"/>
    </row>
    <row r="638" spans="12:12">
      <c r="L638" s="34"/>
    </row>
    <row r="639" spans="12:12">
      <c r="L639" s="34"/>
    </row>
    <row r="640" spans="12:12">
      <c r="L640" s="34"/>
    </row>
    <row r="641" spans="12:12">
      <c r="L641" s="34"/>
    </row>
    <row r="642" spans="12:12">
      <c r="L642" s="34"/>
    </row>
    <row r="643" spans="12:12">
      <c r="L643" s="34"/>
    </row>
    <row r="644" spans="12:12">
      <c r="L644" s="34"/>
    </row>
    <row r="645" spans="12:12">
      <c r="L645" s="34"/>
    </row>
    <row r="646" spans="12:12">
      <c r="L646" s="34"/>
    </row>
    <row r="647" spans="12:12">
      <c r="L647" s="34"/>
    </row>
    <row r="648" spans="12:12">
      <c r="L648" s="34"/>
    </row>
    <row r="649" spans="12:12">
      <c r="L649" s="34"/>
    </row>
    <row r="650" spans="12:12">
      <c r="L650" s="34"/>
    </row>
    <row r="651" spans="12:12">
      <c r="L651" s="34"/>
    </row>
    <row r="652" spans="12:12">
      <c r="L652" s="34"/>
    </row>
    <row r="653" spans="12:12">
      <c r="L653" s="34"/>
    </row>
    <row r="654" spans="12:12">
      <c r="L654" s="34"/>
    </row>
    <row r="655" spans="12:12">
      <c r="L655" s="34"/>
    </row>
    <row r="656" spans="12:12">
      <c r="L656" s="34"/>
    </row>
    <row r="657" spans="12:12">
      <c r="L657" s="34"/>
    </row>
    <row r="658" spans="12:12">
      <c r="L658" s="34"/>
    </row>
    <row r="659" spans="12:12">
      <c r="L659" s="34"/>
    </row>
    <row r="660" spans="12:12">
      <c r="L660" s="34"/>
    </row>
    <row r="661" spans="12:12">
      <c r="L661" s="34"/>
    </row>
    <row r="662" spans="12:12">
      <c r="L662" s="34"/>
    </row>
    <row r="663" spans="12:12">
      <c r="L663" s="34"/>
    </row>
    <row r="664" spans="12:12">
      <c r="L664" s="34"/>
    </row>
    <row r="665" spans="12:12">
      <c r="L665" s="34"/>
    </row>
    <row r="666" spans="12:12">
      <c r="L666" s="34"/>
    </row>
    <row r="667" spans="12:12">
      <c r="L667" s="34"/>
    </row>
    <row r="668" spans="12:12">
      <c r="L668" s="34"/>
    </row>
    <row r="669" spans="12:12">
      <c r="L669" s="34"/>
    </row>
    <row r="670" spans="12:12">
      <c r="L670" s="34"/>
    </row>
    <row r="671" spans="12:12">
      <c r="L671" s="34"/>
    </row>
    <row r="672" spans="12:12">
      <c r="L672" s="34"/>
    </row>
    <row r="673" spans="12:12">
      <c r="L673" s="34"/>
    </row>
    <row r="674" spans="12:12">
      <c r="L674" s="34"/>
    </row>
    <row r="675" spans="12:12">
      <c r="L675" s="34"/>
    </row>
    <row r="676" spans="12:12">
      <c r="L676" s="34"/>
    </row>
    <row r="677" spans="12:12">
      <c r="L677" s="34"/>
    </row>
    <row r="678" spans="12:12">
      <c r="L678" s="34"/>
    </row>
    <row r="679" spans="12:12">
      <c r="L679" s="34"/>
    </row>
    <row r="680" spans="12:12">
      <c r="L680" s="34"/>
    </row>
    <row r="681" spans="12:12">
      <c r="L681" s="34"/>
    </row>
    <row r="682" spans="12:12">
      <c r="L682" s="34"/>
    </row>
    <row r="683" spans="12:12">
      <c r="L683" s="34"/>
    </row>
    <row r="684" spans="12:12">
      <c r="L684" s="34"/>
    </row>
    <row r="685" spans="12:12">
      <c r="L685" s="34"/>
    </row>
    <row r="686" spans="12:12">
      <c r="L686" s="34"/>
    </row>
    <row r="687" spans="12:12">
      <c r="L687" s="34"/>
    </row>
    <row r="688" spans="12:12">
      <c r="L688" s="34"/>
    </row>
    <row r="689" spans="12:12">
      <c r="L689" s="34"/>
    </row>
    <row r="690" spans="12:12">
      <c r="L690" s="34"/>
    </row>
    <row r="691" spans="12:12">
      <c r="L691" s="34"/>
    </row>
    <row r="692" spans="12:12">
      <c r="L692" s="34"/>
    </row>
    <row r="693" spans="12:12">
      <c r="L693" s="34"/>
    </row>
    <row r="694" spans="12:12">
      <c r="L694" s="34"/>
    </row>
    <row r="695" spans="12:12">
      <c r="L695" s="34"/>
    </row>
    <row r="696" spans="12:12">
      <c r="L696" s="34"/>
    </row>
    <row r="697" spans="12:12">
      <c r="L697" s="34"/>
    </row>
    <row r="698" spans="12:12">
      <c r="L698" s="34"/>
    </row>
    <row r="699" spans="12:12">
      <c r="L699" s="34"/>
    </row>
    <row r="700" spans="12:12">
      <c r="L700" s="34"/>
    </row>
    <row r="701" spans="12:12">
      <c r="L701" s="34"/>
    </row>
    <row r="702" spans="12:12">
      <c r="L702" s="34"/>
    </row>
    <row r="703" spans="12:12">
      <c r="L703" s="34"/>
    </row>
    <row r="704" spans="12:12">
      <c r="L704" s="34"/>
    </row>
    <row r="705" spans="12:12">
      <c r="L705" s="34"/>
    </row>
    <row r="706" spans="12:12">
      <c r="L706" s="34"/>
    </row>
    <row r="707" spans="12:12">
      <c r="L707" s="34"/>
    </row>
    <row r="708" spans="12:12">
      <c r="L708" s="34"/>
    </row>
    <row r="709" spans="12:12">
      <c r="L709" s="34"/>
    </row>
    <row r="710" spans="12:12">
      <c r="L710" s="34"/>
    </row>
    <row r="711" spans="12:12">
      <c r="L711" s="34"/>
    </row>
    <row r="712" spans="12:12">
      <c r="L712" s="34"/>
    </row>
    <row r="713" spans="12:12">
      <c r="L713" s="34"/>
    </row>
    <row r="714" spans="12:12">
      <c r="L714" s="34"/>
    </row>
    <row r="715" spans="12:12">
      <c r="L715" s="34"/>
    </row>
    <row r="716" spans="12:12">
      <c r="L716" s="34"/>
    </row>
    <row r="717" spans="12:12">
      <c r="L717" s="34"/>
    </row>
    <row r="718" spans="12:12">
      <c r="L718" s="34"/>
    </row>
    <row r="719" spans="12:12">
      <c r="L719" s="34"/>
    </row>
    <row r="720" spans="12:12">
      <c r="L720" s="34"/>
    </row>
    <row r="721" spans="12:12">
      <c r="L721" s="34"/>
    </row>
    <row r="722" spans="12:12">
      <c r="L722" s="34"/>
    </row>
    <row r="723" spans="12:12">
      <c r="L723" s="34"/>
    </row>
    <row r="724" spans="12:12">
      <c r="L724" s="34"/>
    </row>
    <row r="725" spans="12:12">
      <c r="L725" s="34"/>
    </row>
    <row r="726" spans="12:12">
      <c r="L726" s="34"/>
    </row>
  </sheetData>
  <sortState ref="L8:L20">
    <sortCondition ref="L8"/>
  </sortState>
  <mergeCells count="2">
    <mergeCell ref="B1:I1"/>
    <mergeCell ref="B3:C3"/>
  </mergeCells>
  <pageMargins left="0.7" right="0.7" top="0.75" bottom="0.75" header="0.3" footer="0.3"/>
  <pageSetup paperSize="256" scale="1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_click">
                <anchor moveWithCells="1" sizeWithCells="1">
                  <from>
                    <xdr:col>1</xdr:col>
                    <xdr:colOff>876300</xdr:colOff>
                    <xdr:row>11</xdr:row>
                    <xdr:rowOff>38100</xdr:rowOff>
                  </from>
                  <to>
                    <xdr:col>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Kudija, Matthew (Milestone Aviation)</cp:lastModifiedBy>
  <cp:lastPrinted>2017-08-08T16:13:26Z</cp:lastPrinted>
  <dcterms:created xsi:type="dcterms:W3CDTF">2013-12-13T17:46:19Z</dcterms:created>
  <dcterms:modified xsi:type="dcterms:W3CDTF">2018-10-01T12:10:31Z</dcterms:modified>
</cp:coreProperties>
</file>